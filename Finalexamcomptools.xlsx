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1C3D2CE-B793-4410-A275-D23177641B90}" xr6:coauthVersionLast="47" xr6:coauthVersionMax="47" xr10:uidLastSave="{00000000-0000-0000-0000-000000000000}"/>
  <bookViews>
    <workbookView xWindow="60" yWindow="396" windowWidth="11736" windowHeight="11568" firstSheet="10" activeTab="13" xr2:uid="{BA2886F1-B8BF-41E6-ABD8-ECDB889A1D56}"/>
  </bookViews>
  <sheets>
    <sheet name="Table created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QUESTION 3" sheetId="14" r:id="rId14"/>
  </sheets>
  <definedNames>
    <definedName name="_xlnm._FilterDatabase" localSheetId="13" hidden="1">'QUESTION 3'!$A$1:$H$13</definedName>
    <definedName name="_xlnm._FilterDatabase" localSheetId="1" hidden="1">Sheet2!$B$1:$E$12</definedName>
    <definedName name="_xlnm._FilterDatabase" localSheetId="0" hidden="1">'Table created'!$B$1:$E$12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6" i="14" l="1"/>
  <c r="F15" i="14"/>
  <c r="J2" i="14"/>
  <c r="I2" i="14"/>
  <c r="H12" i="14"/>
  <c r="H11" i="14"/>
  <c r="H10" i="14"/>
  <c r="H9" i="14"/>
  <c r="H8" i="14"/>
  <c r="H7" i="14"/>
  <c r="H6" i="14"/>
  <c r="H5" i="14"/>
  <c r="H4" i="14"/>
  <c r="H3" i="14"/>
  <c r="H2" i="14"/>
  <c r="H14" i="13"/>
  <c r="F18" i="11"/>
  <c r="F20" i="11"/>
  <c r="F14" i="12"/>
  <c r="F19" i="11"/>
  <c r="F15" i="11"/>
  <c r="F16" i="11" s="1"/>
  <c r="F15" i="9"/>
  <c r="F14" i="11"/>
  <c r="F14" i="9"/>
  <c r="F14" i="10"/>
  <c r="H12" i="13"/>
  <c r="H11" i="13"/>
  <c r="H10" i="13"/>
  <c r="H9" i="13"/>
  <c r="H8" i="13"/>
  <c r="H7" i="13"/>
  <c r="H6" i="13"/>
  <c r="H5" i="13"/>
  <c r="H4" i="13"/>
  <c r="H3" i="13"/>
  <c r="H2" i="13"/>
  <c r="H12" i="12"/>
  <c r="H11" i="12"/>
  <c r="H10" i="12"/>
  <c r="H9" i="12"/>
  <c r="H8" i="12"/>
  <c r="H7" i="12"/>
  <c r="H6" i="12"/>
  <c r="H5" i="12"/>
  <c r="H4" i="12"/>
  <c r="H3" i="12"/>
  <c r="H2" i="12"/>
  <c r="H12" i="11"/>
  <c r="H11" i="11"/>
  <c r="H10" i="11"/>
  <c r="H9" i="11"/>
  <c r="H8" i="11"/>
  <c r="H7" i="11"/>
  <c r="H6" i="11"/>
  <c r="H5" i="11"/>
  <c r="H4" i="11"/>
  <c r="H3" i="11"/>
  <c r="H2" i="11"/>
  <c r="H12" i="10"/>
  <c r="H11" i="10"/>
  <c r="H10" i="10"/>
  <c r="H9" i="10"/>
  <c r="H8" i="10"/>
  <c r="H7" i="10"/>
  <c r="H6" i="10"/>
  <c r="H5" i="10"/>
  <c r="H4" i="10"/>
  <c r="H3" i="10"/>
  <c r="H2" i="10"/>
  <c r="H13" i="8"/>
  <c r="H13" i="7"/>
  <c r="H12" i="9"/>
  <c r="H11" i="9"/>
  <c r="H10" i="9"/>
  <c r="H9" i="9"/>
  <c r="H8" i="9"/>
  <c r="H7" i="9"/>
  <c r="H6" i="9"/>
  <c r="H5" i="9"/>
  <c r="H4" i="9"/>
  <c r="H3" i="9"/>
  <c r="H2" i="9"/>
  <c r="H12" i="8"/>
  <c r="H11" i="8"/>
  <c r="H10" i="8"/>
  <c r="H9" i="8"/>
  <c r="H8" i="8"/>
  <c r="H7" i="8"/>
  <c r="H6" i="8"/>
  <c r="H5" i="8"/>
  <c r="H4" i="8"/>
  <c r="H3" i="8"/>
  <c r="H2" i="8"/>
  <c r="H12" i="7"/>
  <c r="H11" i="7"/>
  <c r="H10" i="7"/>
  <c r="H9" i="7"/>
  <c r="H8" i="7"/>
  <c r="H7" i="7"/>
  <c r="H6" i="7"/>
  <c r="H5" i="7"/>
  <c r="H4" i="7"/>
  <c r="H3" i="7"/>
  <c r="H2" i="7"/>
  <c r="F14" i="6"/>
  <c r="F13" i="6"/>
  <c r="H2" i="6"/>
  <c r="H12" i="6"/>
  <c r="H11" i="6"/>
  <c r="H10" i="6"/>
  <c r="H9" i="6"/>
  <c r="H8" i="6"/>
  <c r="H7" i="6"/>
  <c r="H6" i="6"/>
  <c r="H5" i="6"/>
  <c r="H4" i="6"/>
  <c r="H3" i="6"/>
  <c r="H13" i="5"/>
  <c r="H13" i="4"/>
  <c r="H13" i="3"/>
  <c r="H12" i="4"/>
  <c r="H11" i="4"/>
  <c r="H10" i="4"/>
  <c r="H9" i="4"/>
  <c r="H8" i="4"/>
  <c r="H7" i="4"/>
  <c r="H6" i="4"/>
  <c r="H5" i="4"/>
  <c r="H4" i="4"/>
  <c r="H3" i="4"/>
  <c r="H2" i="4"/>
  <c r="H12" i="5"/>
  <c r="H11" i="5"/>
  <c r="H10" i="5"/>
  <c r="H9" i="5"/>
  <c r="H8" i="5"/>
  <c r="H7" i="5"/>
  <c r="H6" i="5"/>
  <c r="H5" i="5"/>
  <c r="H4" i="5"/>
  <c r="H3" i="5"/>
  <c r="H2" i="5"/>
  <c r="H2" i="3"/>
  <c r="H12" i="3"/>
  <c r="H11" i="3"/>
  <c r="H10" i="3"/>
  <c r="H9" i="3"/>
  <c r="H8" i="3"/>
  <c r="H7" i="3"/>
  <c r="H6" i="3"/>
  <c r="H5" i="3"/>
  <c r="H4" i="3"/>
  <c r="H3" i="3"/>
  <c r="H12" i="2"/>
  <c r="H11" i="2"/>
  <c r="H10" i="2"/>
  <c r="H9" i="2"/>
  <c r="H8" i="2"/>
  <c r="H7" i="2"/>
  <c r="H6" i="2"/>
  <c r="H5" i="2"/>
  <c r="H4" i="2"/>
  <c r="H3" i="2"/>
  <c r="H2" i="2"/>
  <c r="H3" i="1"/>
  <c r="H4" i="1"/>
  <c r="H5" i="1"/>
  <c r="H6" i="1"/>
  <c r="H7" i="1"/>
  <c r="H8" i="1"/>
  <c r="H9" i="1"/>
  <c r="H10" i="1"/>
  <c r="H11" i="1"/>
  <c r="H12" i="1"/>
  <c r="H2" i="1"/>
  <c r="F16" i="9" l="1"/>
</calcChain>
</file>

<file path=xl/sharedStrings.xml><?xml version="1.0" encoding="utf-8"?>
<sst xmlns="http://schemas.openxmlformats.org/spreadsheetml/2006/main" count="772" uniqueCount="52">
  <si>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</si>
  <si>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</si>
  <si>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</si>
  <si>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</si>
  <si>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</si>
  <si>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</si>
  <si>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</si>
  <si>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</si>
  <si>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2020-0104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</si>
  <si>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</si>
  <si>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</si>
  <si>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</si>
  <si>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</si>
  <si>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</si>
  <si>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</si>
  <si>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</si>
  <si>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</si>
  <si>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</si>
  <si>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</si>
  <si>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</si>
  <si>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</si>
  <si>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</si>
  <si>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</si>
  <si>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 xml:space="preserve">         2020-0104</t>
  </si>
  <si>
    <t xml:space="preserve">     2020-0104</t>
  </si>
  <si>
    <t xml:space="preserve"> </t>
  </si>
  <si>
    <t>Question2.1 Filters added</t>
  </si>
  <si>
    <t>Question2.3</t>
  </si>
  <si>
    <t xml:space="preserve">      TOTAL PRICE </t>
  </si>
  <si>
    <t>Question2.2   Total Price</t>
  </si>
  <si>
    <t xml:space="preserve">         Question 2.4</t>
  </si>
  <si>
    <t xml:space="preserve">              UnitPrice</t>
  </si>
  <si>
    <t>Question 2.5-</t>
  </si>
  <si>
    <t xml:space="preserve">
</t>
  </si>
  <si>
    <t>MIN</t>
  </si>
  <si>
    <t>MAX</t>
  </si>
  <si>
    <t>Question2.7</t>
  </si>
  <si>
    <t>total price</t>
  </si>
  <si>
    <t>Question 2.6</t>
  </si>
  <si>
    <t>Total</t>
  </si>
  <si>
    <t>Question2.8</t>
  </si>
  <si>
    <t>quantity</t>
  </si>
  <si>
    <t>Average</t>
  </si>
  <si>
    <t>Question 2.10</t>
  </si>
  <si>
    <t>Number of cookies</t>
  </si>
  <si>
    <t>Number of Crackers</t>
  </si>
  <si>
    <t>QUESTION 2.12</t>
  </si>
  <si>
    <t xml:space="preserve">         2020-01-04</t>
  </si>
  <si>
    <t xml:space="preserve">     2020-01-04</t>
  </si>
  <si>
    <t xml:space="preserve">    2020-01-04</t>
  </si>
  <si>
    <t>CitySales for NY</t>
  </si>
  <si>
    <t>City sale for 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</si>
</sst>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14" fontId="0" fillId="3" borderId="0" xfId="0" applyNumberFormat="1" applyFill="1"/>
    <xf numFmtId="0" fontId="2" fillId="3" borderId="0" xfId="0" applyFont="1" applyFill="1"/>
    <xf numFmtId="0" fontId="0" fillId="3" borderId="0" xfId="0" applyFill="1"/>
    <xf numFmtId="14" fontId="0" fillId="4" borderId="0" xfId="0" applyNumberFormat="1" applyFill="1"/>
    <xf numFmtId="0" fontId="2" fillId="4" borderId="0" xfId="0" applyFont="1" applyFill="1"/>
    <xf numFmtId="0" fontId="0" fillId="4" borderId="0" xfId="0" applyFill="1"/>
    <xf numFmtId="0" fontId="4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East</a:t>
            </a:r>
            <a:r>
              <a:rPr lang="en-CA" baseline="0"/>
              <a:t> Region City Sales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136482939632541E-2"/>
          <c:y val="0.19486111111111112"/>
          <c:w val="0.87753018372703417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3'!$E$15:$E$16</c:f>
              <c:strCache>
                <c:ptCount val="2"/>
                <c:pt idx="0">
                  <c:v>Boston</c:v>
                </c:pt>
                <c:pt idx="1">
                  <c:v>New York</c:v>
                </c:pt>
              </c:strCache>
            </c:strRef>
          </c:cat>
          <c:val>
            <c:numRef>
              <c:f>'QUESTION 3'!$F$15:$F$16</c:f>
              <c:numCache>
                <c:formatCode>General</c:formatCode>
                <c:ptCount val="2"/>
                <c:pt idx="0">
                  <c:v>999.14</c:v>
                </c:pt>
                <c:pt idx="1">
                  <c:v>470.5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E-4FF7-A9BD-F587BD130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385647"/>
        <c:axId val="521386063"/>
      </c:barChart>
      <c:catAx>
        <c:axId val="52138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86063"/>
        <c:crosses val="autoZero"/>
        <c:auto val="1"/>
        <c:lblAlgn val="ctr"/>
        <c:lblOffset val="100"/>
        <c:noMultiLvlLbl val="0"/>
      </c:catAx>
      <c:valAx>
        <c:axId val="52138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8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18</xdr:row>
      <xdr:rowOff>91440</xdr:rowOff>
    </xdr:from>
    <xdr:to>
      <xdr:col>7</xdr:col>
      <xdr:colOff>563880</xdr:colOff>
      <xdr:row>27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E165F-20F2-4426-B51E-6FAB3B464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46DC-E4DD-425E-B806-C76EC22A697E}">
  <dimension ref="A1:H15"/>
  <sheetViews>
    <sheetView zoomScale="79" zoomScaleNormal="79" workbookViewId="0">
      <selection activeCell="H19" sqref="H19"/>
    </sheetView>
  </sheetViews>
  <sheetFormatPr defaultRowHeight="14.4" x14ac:dyDescent="0.3"/>
  <cols>
    <col min="1" max="1" width="13.44140625" customWidth="1"/>
    <col min="2" max="2" width="7" bestFit="1" customWidth="1"/>
    <col min="7" max="7" width="9.77734375" customWidth="1"/>
    <col min="8" max="8" width="11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>
        <v>43831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33</v>
      </c>
      <c r="G2" s="3">
        <v>1.77</v>
      </c>
      <c r="H2">
        <f>F2*G2</f>
        <v>58.410000000000004</v>
      </c>
    </row>
    <row r="3" spans="1:8" ht="15.6" x14ac:dyDescent="0.3">
      <c r="A3" t="s">
        <v>23</v>
      </c>
      <c r="B3" s="3" t="s">
        <v>9</v>
      </c>
      <c r="C3" s="3" t="s">
        <v>10</v>
      </c>
      <c r="D3" s="3" t="s">
        <v>13</v>
      </c>
      <c r="E3" s="3" t="s">
        <v>14</v>
      </c>
      <c r="F3" s="3">
        <v>87</v>
      </c>
      <c r="G3" s="3">
        <v>3.49</v>
      </c>
      <c r="H3">
        <f t="shared" ref="H3:H12" si="0">F3*G3</f>
        <v>303.63</v>
      </c>
    </row>
    <row r="4" spans="1:8" ht="15.6" x14ac:dyDescent="0.3">
      <c r="A4" s="2">
        <v>43837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58</v>
      </c>
      <c r="G4" s="3">
        <v>1.87</v>
      </c>
      <c r="H4">
        <f t="shared" si="0"/>
        <v>108.46000000000001</v>
      </c>
    </row>
    <row r="5" spans="1:8" ht="15.6" x14ac:dyDescent="0.3">
      <c r="A5" s="2">
        <v>43840</v>
      </c>
      <c r="B5" s="3" t="s">
        <v>9</v>
      </c>
      <c r="C5" s="3" t="s">
        <v>19</v>
      </c>
      <c r="D5" s="3" t="s">
        <v>17</v>
      </c>
      <c r="E5" s="3" t="s">
        <v>18</v>
      </c>
      <c r="F5" s="3">
        <v>82</v>
      </c>
      <c r="G5" s="3">
        <v>1.87</v>
      </c>
      <c r="H5">
        <f t="shared" si="0"/>
        <v>153.34</v>
      </c>
    </row>
    <row r="6" spans="1:8" ht="15.6" x14ac:dyDescent="0.3">
      <c r="A6" s="2">
        <v>43843</v>
      </c>
      <c r="B6" s="3" t="s">
        <v>9</v>
      </c>
      <c r="C6" s="3" t="s">
        <v>10</v>
      </c>
      <c r="D6" s="3" t="s">
        <v>17</v>
      </c>
      <c r="E6" s="3" t="s">
        <v>20</v>
      </c>
      <c r="F6" s="3">
        <v>38</v>
      </c>
      <c r="G6" s="3">
        <v>2.1800000000000002</v>
      </c>
      <c r="H6">
        <f t="shared" si="0"/>
        <v>82.84</v>
      </c>
    </row>
    <row r="7" spans="1:8" ht="15.6" x14ac:dyDescent="0.3">
      <c r="A7" s="2">
        <v>43846</v>
      </c>
      <c r="B7" s="3" t="s">
        <v>9</v>
      </c>
      <c r="C7" s="3" t="s">
        <v>10</v>
      </c>
      <c r="D7" s="3" t="s">
        <v>11</v>
      </c>
      <c r="E7" s="3" t="s">
        <v>12</v>
      </c>
      <c r="F7" s="3">
        <v>54</v>
      </c>
      <c r="G7" s="3">
        <v>1.77</v>
      </c>
      <c r="H7">
        <f t="shared" si="0"/>
        <v>95.58</v>
      </c>
    </row>
    <row r="8" spans="1:8" ht="15.6" x14ac:dyDescent="0.3">
      <c r="A8" s="2">
        <v>43849</v>
      </c>
      <c r="B8" s="3" t="s">
        <v>9</v>
      </c>
      <c r="C8" s="3" t="s">
        <v>10</v>
      </c>
      <c r="D8" s="3" t="s">
        <v>13</v>
      </c>
      <c r="E8" s="3" t="s">
        <v>14</v>
      </c>
      <c r="F8" s="3">
        <v>149</v>
      </c>
      <c r="G8" s="3">
        <v>3.49</v>
      </c>
      <c r="H8">
        <f t="shared" si="0"/>
        <v>520.01</v>
      </c>
    </row>
    <row r="9" spans="1:8" ht="15.6" x14ac:dyDescent="0.3">
      <c r="A9" s="2">
        <v>43855</v>
      </c>
      <c r="B9" s="3" t="s">
        <v>15</v>
      </c>
      <c r="C9" s="3" t="s">
        <v>16</v>
      </c>
      <c r="D9" s="3" t="s">
        <v>11</v>
      </c>
      <c r="E9" s="3" t="s">
        <v>12</v>
      </c>
      <c r="F9" s="3">
        <v>51</v>
      </c>
      <c r="G9" s="3">
        <v>1.77</v>
      </c>
      <c r="H9">
        <f t="shared" si="0"/>
        <v>90.27</v>
      </c>
    </row>
    <row r="10" spans="1:8" ht="15.6" x14ac:dyDescent="0.3">
      <c r="A10" s="2">
        <v>43858</v>
      </c>
      <c r="B10" s="3" t="s">
        <v>9</v>
      </c>
      <c r="C10" s="3" t="s">
        <v>19</v>
      </c>
      <c r="D10" s="3" t="s">
        <v>11</v>
      </c>
      <c r="E10" s="3" t="s">
        <v>12</v>
      </c>
      <c r="F10" s="3">
        <v>100</v>
      </c>
      <c r="G10" s="3">
        <v>1.77</v>
      </c>
      <c r="H10">
        <f t="shared" si="0"/>
        <v>177</v>
      </c>
    </row>
    <row r="11" spans="1:8" ht="15.6" x14ac:dyDescent="0.3">
      <c r="A11" s="2">
        <v>43861</v>
      </c>
      <c r="B11" s="3" t="s">
        <v>9</v>
      </c>
      <c r="C11" s="3" t="s">
        <v>19</v>
      </c>
      <c r="D11" s="3" t="s">
        <v>21</v>
      </c>
      <c r="E11" s="3" t="s">
        <v>22</v>
      </c>
      <c r="F11" s="3">
        <v>28</v>
      </c>
      <c r="G11" s="3">
        <v>1.35</v>
      </c>
      <c r="H11">
        <f t="shared" si="0"/>
        <v>37.800000000000004</v>
      </c>
    </row>
    <row r="12" spans="1:8" ht="15.6" x14ac:dyDescent="0.3">
      <c r="A12" s="2">
        <v>43864</v>
      </c>
      <c r="B12" s="3" t="s">
        <v>9</v>
      </c>
      <c r="C12" s="3" t="s">
        <v>10</v>
      </c>
      <c r="D12" s="3" t="s">
        <v>17</v>
      </c>
      <c r="E12" s="3" t="s">
        <v>20</v>
      </c>
      <c r="F12" s="3">
        <v>36</v>
      </c>
      <c r="G12" s="3">
        <v>2.1800000000000002</v>
      </c>
      <c r="H12">
        <f t="shared" si="0"/>
        <v>78.48</v>
      </c>
    </row>
    <row r="14" spans="1:8" ht="15.6" x14ac:dyDescent="0.3">
      <c r="B14" s="4"/>
    </row>
    <row r="15" spans="1:8" x14ac:dyDescent="0.3">
      <c r="A1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003F-75B3-490D-9EA0-0A02760005DA}">
  <dimension ref="A1:H16"/>
  <sheetViews>
    <sheetView workbookViewId="0">
      <selection activeCell="J19" sqref="J19"/>
    </sheetView>
  </sheetViews>
  <sheetFormatPr defaultRowHeight="14.4" x14ac:dyDescent="0.3"/>
  <cols>
    <col min="1" max="1" width="10.33203125" bestFit="1" customWidth="1"/>
    <col min="2" max="2" width="13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>
        <v>43831</v>
      </c>
      <c r="B2" s="3" t="s">
        <v>9</v>
      </c>
      <c r="C2" s="3" t="s">
        <v>10</v>
      </c>
      <c r="D2" s="3" t="s">
        <v>17</v>
      </c>
      <c r="E2" s="3" t="s">
        <v>20</v>
      </c>
      <c r="F2" s="3">
        <v>33</v>
      </c>
      <c r="G2" s="3">
        <v>1.77</v>
      </c>
      <c r="H2">
        <f>F2*G2</f>
        <v>58.410000000000004</v>
      </c>
    </row>
    <row r="3" spans="1:8" ht="15.6" x14ac:dyDescent="0.3">
      <c r="A3" t="s">
        <v>8</v>
      </c>
      <c r="B3" s="3" t="s">
        <v>9</v>
      </c>
      <c r="C3" s="3" t="s">
        <v>10</v>
      </c>
      <c r="D3" s="3" t="s">
        <v>17</v>
      </c>
      <c r="E3" s="3" t="s">
        <v>20</v>
      </c>
      <c r="F3" s="3">
        <v>87</v>
      </c>
      <c r="G3" s="3">
        <v>3.49</v>
      </c>
      <c r="H3">
        <f t="shared" ref="H3:H12" si="0">F3*G3</f>
        <v>303.63</v>
      </c>
    </row>
    <row r="4" spans="1:8" ht="15.6" x14ac:dyDescent="0.3">
      <c r="A4" s="2">
        <v>43837</v>
      </c>
      <c r="B4" s="3" t="s">
        <v>9</v>
      </c>
      <c r="C4" s="3" t="s">
        <v>10</v>
      </c>
      <c r="D4" s="3" t="s">
        <v>11</v>
      </c>
      <c r="E4" s="3" t="s">
        <v>12</v>
      </c>
      <c r="F4" s="3">
        <v>58</v>
      </c>
      <c r="G4" s="3">
        <v>1.87</v>
      </c>
      <c r="H4">
        <f t="shared" si="0"/>
        <v>108.46000000000001</v>
      </c>
    </row>
    <row r="5" spans="1:8" ht="15.6" x14ac:dyDescent="0.3">
      <c r="A5" s="2">
        <v>43840</v>
      </c>
      <c r="B5" s="3" t="s">
        <v>9</v>
      </c>
      <c r="C5" s="3" t="s">
        <v>10</v>
      </c>
      <c r="D5" s="3" t="s">
        <v>11</v>
      </c>
      <c r="E5" s="3" t="s">
        <v>12</v>
      </c>
      <c r="F5" s="3">
        <v>82</v>
      </c>
      <c r="G5" s="3">
        <v>1.87</v>
      </c>
      <c r="H5">
        <f t="shared" si="0"/>
        <v>153.34</v>
      </c>
    </row>
    <row r="6" spans="1:8" ht="15.6" x14ac:dyDescent="0.3">
      <c r="A6" s="2">
        <v>43843</v>
      </c>
      <c r="B6" s="3" t="s">
        <v>15</v>
      </c>
      <c r="C6" s="3" t="s">
        <v>16</v>
      </c>
      <c r="D6" s="3" t="s">
        <v>11</v>
      </c>
      <c r="E6" s="3" t="s">
        <v>12</v>
      </c>
      <c r="F6" s="3">
        <v>38</v>
      </c>
      <c r="G6" s="3">
        <v>2.1800000000000002</v>
      </c>
      <c r="H6">
        <f t="shared" si="0"/>
        <v>82.84</v>
      </c>
    </row>
    <row r="7" spans="1:8" ht="15.6" x14ac:dyDescent="0.3">
      <c r="A7" s="2">
        <v>43846</v>
      </c>
      <c r="B7" s="3" t="s">
        <v>9</v>
      </c>
      <c r="C7" s="3" t="s">
        <v>19</v>
      </c>
      <c r="D7" s="3" t="s">
        <v>11</v>
      </c>
      <c r="E7" s="3" t="s">
        <v>12</v>
      </c>
      <c r="F7" s="3">
        <v>54</v>
      </c>
      <c r="G7" s="3">
        <v>1.77</v>
      </c>
      <c r="H7">
        <f t="shared" si="0"/>
        <v>95.58</v>
      </c>
    </row>
    <row r="8" spans="1:8" ht="15.6" x14ac:dyDescent="0.3">
      <c r="A8" s="2">
        <v>43849</v>
      </c>
      <c r="B8" s="3" t="s">
        <v>15</v>
      </c>
      <c r="C8" s="3" t="s">
        <v>16</v>
      </c>
      <c r="D8" s="3" t="s">
        <v>17</v>
      </c>
      <c r="E8" s="3" t="s">
        <v>18</v>
      </c>
      <c r="F8" s="3">
        <v>149</v>
      </c>
      <c r="G8" s="3">
        <v>3.49</v>
      </c>
      <c r="H8">
        <f t="shared" si="0"/>
        <v>520.01</v>
      </c>
    </row>
    <row r="9" spans="1:8" ht="15.6" x14ac:dyDescent="0.3">
      <c r="A9" s="2">
        <v>43855</v>
      </c>
      <c r="B9" s="3" t="s">
        <v>9</v>
      </c>
      <c r="C9" s="3" t="s">
        <v>19</v>
      </c>
      <c r="D9" s="3" t="s">
        <v>17</v>
      </c>
      <c r="E9" s="3" t="s">
        <v>18</v>
      </c>
      <c r="F9" s="3">
        <v>51</v>
      </c>
      <c r="G9" s="3">
        <v>1.77</v>
      </c>
      <c r="H9">
        <f t="shared" si="0"/>
        <v>90.27</v>
      </c>
    </row>
    <row r="10" spans="1:8" ht="15.6" x14ac:dyDescent="0.3">
      <c r="A10" s="2">
        <v>43858</v>
      </c>
      <c r="B10" s="3" t="s">
        <v>9</v>
      </c>
      <c r="C10" s="3" t="s">
        <v>19</v>
      </c>
      <c r="D10" s="3" t="s">
        <v>21</v>
      </c>
      <c r="E10" s="3" t="s">
        <v>22</v>
      </c>
      <c r="F10" s="3">
        <v>100</v>
      </c>
      <c r="G10" s="3">
        <v>1.77</v>
      </c>
      <c r="H10">
        <f t="shared" si="0"/>
        <v>177</v>
      </c>
    </row>
    <row r="11" spans="1:8" ht="15.6" x14ac:dyDescent="0.3">
      <c r="A11" s="2">
        <v>43861</v>
      </c>
      <c r="B11" s="3" t="s">
        <v>9</v>
      </c>
      <c r="C11" s="3" t="s">
        <v>10</v>
      </c>
      <c r="D11" s="3" t="s">
        <v>13</v>
      </c>
      <c r="E11" s="3" t="s">
        <v>14</v>
      </c>
      <c r="F11" s="3">
        <v>28</v>
      </c>
      <c r="G11" s="3">
        <v>1.35</v>
      </c>
      <c r="H11">
        <f t="shared" si="0"/>
        <v>37.800000000000004</v>
      </c>
    </row>
    <row r="12" spans="1:8" ht="15.6" x14ac:dyDescent="0.3">
      <c r="A12" s="2">
        <v>43864</v>
      </c>
      <c r="B12" s="3" t="s">
        <v>9</v>
      </c>
      <c r="C12" s="3" t="s">
        <v>10</v>
      </c>
      <c r="D12" s="3" t="s">
        <v>13</v>
      </c>
      <c r="E12" s="3" t="s">
        <v>14</v>
      </c>
      <c r="F12" s="3">
        <v>36</v>
      </c>
      <c r="G12" s="3">
        <v>2.1800000000000002</v>
      </c>
      <c r="H12">
        <f t="shared" si="0"/>
        <v>78.48</v>
      </c>
    </row>
    <row r="15" spans="1:8" x14ac:dyDescent="0.3">
      <c r="A15" s="1" t="s">
        <v>26</v>
      </c>
    </row>
    <row r="16" spans="1:8" x14ac:dyDescent="0.3">
      <c r="A16" s="1" t="s">
        <v>29</v>
      </c>
    </row>
  </sheetData>
  <autoFilter ref="B1:E12" xr:uid="{9843003F-75B3-490D-9EA0-0A02760005DA}">
    <sortState xmlns:xlrd2="http://schemas.microsoft.com/office/spreadsheetml/2017/richdata2" ref="B2:E12">
      <sortCondition ref="E1:E1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DDF5-DC4D-408A-AEAD-C3A39932E217}">
  <dimension ref="A1:H15"/>
  <sheetViews>
    <sheetView workbookViewId="0">
      <selection activeCell="H13" sqref="H13"/>
    </sheetView>
  </sheetViews>
  <sheetFormatPr defaultRowHeight="14.4" x14ac:dyDescent="0.3"/>
  <cols>
    <col min="1" max="1" width="12.33203125" customWidth="1"/>
    <col min="5" max="5" width="16" customWidth="1"/>
    <col min="6" max="6" width="13.109375" customWidth="1"/>
    <col min="7" max="7" width="14.21875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>
        <v>43831</v>
      </c>
      <c r="B2" s="3" t="s">
        <v>9</v>
      </c>
      <c r="C2" s="3" t="s">
        <v>10</v>
      </c>
      <c r="D2" s="3" t="s">
        <v>17</v>
      </c>
      <c r="E2" s="3" t="s">
        <v>20</v>
      </c>
      <c r="F2" s="3">
        <v>33</v>
      </c>
      <c r="G2" s="3">
        <v>1.77</v>
      </c>
      <c r="H2">
        <f>F2*G2</f>
        <v>58.410000000000004</v>
      </c>
    </row>
    <row r="3" spans="1:8" ht="15.6" x14ac:dyDescent="0.3">
      <c r="A3" t="s">
        <v>24</v>
      </c>
      <c r="B3" s="3" t="s">
        <v>9</v>
      </c>
      <c r="C3" s="3" t="s">
        <v>10</v>
      </c>
      <c r="D3" s="3" t="s">
        <v>17</v>
      </c>
      <c r="E3" s="3" t="s">
        <v>20</v>
      </c>
      <c r="F3" s="3">
        <v>87</v>
      </c>
      <c r="G3" s="3">
        <v>3.49</v>
      </c>
      <c r="H3">
        <f t="shared" ref="H3:H12" si="0">F3*G3</f>
        <v>303.63</v>
      </c>
    </row>
    <row r="4" spans="1:8" ht="15.6" x14ac:dyDescent="0.3">
      <c r="A4" s="2">
        <v>43837</v>
      </c>
      <c r="B4" s="3" t="s">
        <v>9</v>
      </c>
      <c r="C4" s="3" t="s">
        <v>10</v>
      </c>
      <c r="D4" s="3" t="s">
        <v>11</v>
      </c>
      <c r="E4" s="3" t="s">
        <v>12</v>
      </c>
      <c r="F4" s="3">
        <v>58</v>
      </c>
      <c r="G4" s="3">
        <v>1.87</v>
      </c>
      <c r="H4">
        <f t="shared" si="0"/>
        <v>108.46000000000001</v>
      </c>
    </row>
    <row r="5" spans="1:8" ht="15.6" x14ac:dyDescent="0.3">
      <c r="A5" s="2">
        <v>43840</v>
      </c>
      <c r="B5" s="3" t="s">
        <v>9</v>
      </c>
      <c r="C5" s="3" t="s">
        <v>10</v>
      </c>
      <c r="D5" s="3" t="s">
        <v>11</v>
      </c>
      <c r="E5" s="3" t="s">
        <v>12</v>
      </c>
      <c r="F5" s="3">
        <v>82</v>
      </c>
      <c r="G5" s="3">
        <v>1.87</v>
      </c>
      <c r="H5">
        <f t="shared" si="0"/>
        <v>153.34</v>
      </c>
    </row>
    <row r="6" spans="1:8" ht="15.6" x14ac:dyDescent="0.3">
      <c r="A6" s="2">
        <v>43843</v>
      </c>
      <c r="B6" s="3" t="s">
        <v>15</v>
      </c>
      <c r="C6" s="3" t="s">
        <v>16</v>
      </c>
      <c r="D6" s="3" t="s">
        <v>11</v>
      </c>
      <c r="E6" s="3" t="s">
        <v>12</v>
      </c>
      <c r="F6" s="3">
        <v>38</v>
      </c>
      <c r="G6" s="3">
        <v>2.1800000000000002</v>
      </c>
      <c r="H6">
        <f t="shared" si="0"/>
        <v>82.84</v>
      </c>
    </row>
    <row r="7" spans="1:8" ht="15.6" x14ac:dyDescent="0.3">
      <c r="A7" s="2">
        <v>43846</v>
      </c>
      <c r="B7" s="3" t="s">
        <v>9</v>
      </c>
      <c r="C7" s="3" t="s">
        <v>19</v>
      </c>
      <c r="D7" s="3" t="s">
        <v>11</v>
      </c>
      <c r="E7" s="3" t="s">
        <v>12</v>
      </c>
      <c r="F7" s="3">
        <v>54</v>
      </c>
      <c r="G7" s="3">
        <v>1.77</v>
      </c>
      <c r="H7">
        <f t="shared" si="0"/>
        <v>95.58</v>
      </c>
    </row>
    <row r="8" spans="1:8" ht="15.6" x14ac:dyDescent="0.3">
      <c r="A8" s="2">
        <v>43849</v>
      </c>
      <c r="B8" s="3" t="s">
        <v>15</v>
      </c>
      <c r="C8" s="3" t="s">
        <v>16</v>
      </c>
      <c r="D8" s="3" t="s">
        <v>17</v>
      </c>
      <c r="E8" s="3" t="s">
        <v>18</v>
      </c>
      <c r="F8" s="3">
        <v>149</v>
      </c>
      <c r="G8" s="3">
        <v>3.49</v>
      </c>
      <c r="H8">
        <f t="shared" si="0"/>
        <v>520.01</v>
      </c>
    </row>
    <row r="9" spans="1:8" ht="15.6" x14ac:dyDescent="0.3">
      <c r="A9" s="2">
        <v>43855</v>
      </c>
      <c r="B9" s="3" t="s">
        <v>9</v>
      </c>
      <c r="C9" s="3" t="s">
        <v>19</v>
      </c>
      <c r="D9" s="3" t="s">
        <v>17</v>
      </c>
      <c r="E9" s="3" t="s">
        <v>18</v>
      </c>
      <c r="F9" s="3">
        <v>51</v>
      </c>
      <c r="G9" s="3">
        <v>1.77</v>
      </c>
      <c r="H9">
        <f t="shared" si="0"/>
        <v>90.27</v>
      </c>
    </row>
    <row r="10" spans="1:8" ht="15.6" x14ac:dyDescent="0.3">
      <c r="A10" s="2">
        <v>43858</v>
      </c>
      <c r="B10" s="3" t="s">
        <v>9</v>
      </c>
      <c r="C10" s="3" t="s">
        <v>19</v>
      </c>
      <c r="D10" s="3" t="s">
        <v>21</v>
      </c>
      <c r="E10" s="3" t="s">
        <v>22</v>
      </c>
      <c r="F10" s="3">
        <v>100</v>
      </c>
      <c r="G10" s="3">
        <v>1.77</v>
      </c>
      <c r="H10">
        <f t="shared" si="0"/>
        <v>177</v>
      </c>
    </row>
    <row r="11" spans="1:8" ht="15.6" x14ac:dyDescent="0.3">
      <c r="A11" s="2">
        <v>43861</v>
      </c>
      <c r="B11" s="3" t="s">
        <v>9</v>
      </c>
      <c r="C11" s="3" t="s">
        <v>10</v>
      </c>
      <c r="D11" s="3" t="s">
        <v>13</v>
      </c>
      <c r="E11" s="3" t="s">
        <v>14</v>
      </c>
      <c r="F11" s="3">
        <v>28</v>
      </c>
      <c r="G11" s="3">
        <v>1.35</v>
      </c>
      <c r="H11">
        <f t="shared" si="0"/>
        <v>37.800000000000004</v>
      </c>
    </row>
    <row r="12" spans="1:8" ht="15.6" x14ac:dyDescent="0.3">
      <c r="A12" s="2">
        <v>43864</v>
      </c>
      <c r="B12" s="3" t="s">
        <v>9</v>
      </c>
      <c r="C12" s="3" t="s">
        <v>10</v>
      </c>
      <c r="D12" s="3" t="s">
        <v>13</v>
      </c>
      <c r="E12" s="3" t="s">
        <v>14</v>
      </c>
      <c r="F12" s="3">
        <v>36</v>
      </c>
      <c r="G12" s="3">
        <v>2.1800000000000002</v>
      </c>
      <c r="H12">
        <f>F12*G12</f>
        <v>78.48</v>
      </c>
    </row>
    <row r="13" spans="1:8" x14ac:dyDescent="0.3">
      <c r="F13" s="1" t="s">
        <v>27</v>
      </c>
      <c r="G13" s="1" t="s">
        <v>28</v>
      </c>
      <c r="H13">
        <f>SUMIF(C2:C13,"Boston",H2:H13)+SUMIF(C2:C13,"New York",H2:H13)</f>
        <v>1102.97</v>
      </c>
    </row>
    <row r="14" spans="1:8" x14ac:dyDescent="0.3">
      <c r="A14" s="1"/>
      <c r="H14" t="s">
        <v>25</v>
      </c>
    </row>
    <row r="15" spans="1:8" x14ac:dyDescent="0.3">
      <c r="A1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BE5C-D5B8-47CE-9EE6-35FA137959C5}">
  <dimension ref="A1:H13"/>
  <sheetViews>
    <sheetView workbookViewId="0">
      <selection activeCell="P10" sqref="P10"/>
    </sheetView>
  </sheetViews>
  <sheetFormatPr defaultRowHeight="14.4" x14ac:dyDescent="0.3"/>
  <cols>
    <col min="1" max="1" width="12.21875" customWidth="1"/>
    <col min="3" max="3" width="13.88671875" customWidth="1"/>
    <col min="4" max="4" width="10.44140625" customWidth="1"/>
    <col min="5" max="5" width="17" customWidth="1"/>
    <col min="7" max="7" width="15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7</v>
      </c>
    </row>
    <row r="2" spans="1:8" ht="15.6" x14ac:dyDescent="0.3">
      <c r="A2" s="2">
        <v>43831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33</v>
      </c>
      <c r="G2" s="3">
        <v>1.77</v>
      </c>
      <c r="H2">
        <f>F2*G2</f>
        <v>58.410000000000004</v>
      </c>
    </row>
    <row r="3" spans="1:8" ht="15.6" x14ac:dyDescent="0.3">
      <c r="A3" t="s">
        <v>23</v>
      </c>
      <c r="B3" s="3" t="s">
        <v>9</v>
      </c>
      <c r="C3" s="3" t="s">
        <v>10</v>
      </c>
      <c r="D3" s="3" t="s">
        <v>13</v>
      </c>
      <c r="E3" s="3" t="s">
        <v>14</v>
      </c>
      <c r="F3" s="3">
        <v>87</v>
      </c>
      <c r="G3" s="3">
        <v>3.49</v>
      </c>
      <c r="H3">
        <f t="shared" ref="H3:H12" si="0">F3*G3</f>
        <v>303.63</v>
      </c>
    </row>
    <row r="4" spans="1:8" ht="15.6" x14ac:dyDescent="0.3">
      <c r="A4" s="2">
        <v>43837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58</v>
      </c>
      <c r="G4" s="3">
        <v>1.87</v>
      </c>
      <c r="H4">
        <f t="shared" si="0"/>
        <v>108.46000000000001</v>
      </c>
    </row>
    <row r="5" spans="1:8" ht="15.6" x14ac:dyDescent="0.3">
      <c r="A5" s="2">
        <v>43840</v>
      </c>
      <c r="B5" s="3" t="s">
        <v>9</v>
      </c>
      <c r="C5" s="3" t="s">
        <v>19</v>
      </c>
      <c r="D5" s="3" t="s">
        <v>17</v>
      </c>
      <c r="E5" s="3" t="s">
        <v>18</v>
      </c>
      <c r="F5" s="3">
        <v>82</v>
      </c>
      <c r="G5" s="3">
        <v>1.87</v>
      </c>
      <c r="H5">
        <f t="shared" si="0"/>
        <v>153.34</v>
      </c>
    </row>
    <row r="6" spans="1:8" ht="15.6" x14ac:dyDescent="0.3">
      <c r="A6" s="2">
        <v>43843</v>
      </c>
      <c r="B6" s="3" t="s">
        <v>9</v>
      </c>
      <c r="C6" s="3" t="s">
        <v>10</v>
      </c>
      <c r="D6" s="3" t="s">
        <v>17</v>
      </c>
      <c r="E6" s="3" t="s">
        <v>20</v>
      </c>
      <c r="F6" s="3">
        <v>38</v>
      </c>
      <c r="G6" s="3">
        <v>2.1800000000000002</v>
      </c>
      <c r="H6">
        <f t="shared" si="0"/>
        <v>82.84</v>
      </c>
    </row>
    <row r="7" spans="1:8" ht="15.6" x14ac:dyDescent="0.3">
      <c r="A7" s="2">
        <v>43846</v>
      </c>
      <c r="B7" s="3" t="s">
        <v>9</v>
      </c>
      <c r="C7" s="3" t="s">
        <v>10</v>
      </c>
      <c r="D7" s="3" t="s">
        <v>11</v>
      </c>
      <c r="E7" s="3" t="s">
        <v>12</v>
      </c>
      <c r="F7" s="3">
        <v>54</v>
      </c>
      <c r="G7" s="3">
        <v>1.77</v>
      </c>
      <c r="H7">
        <f t="shared" si="0"/>
        <v>95.58</v>
      </c>
    </row>
    <row r="8" spans="1:8" ht="15.6" x14ac:dyDescent="0.3">
      <c r="A8" s="2">
        <v>43849</v>
      </c>
      <c r="B8" s="3" t="s">
        <v>9</v>
      </c>
      <c r="C8" s="3" t="s">
        <v>10</v>
      </c>
      <c r="D8" s="3" t="s">
        <v>13</v>
      </c>
      <c r="E8" s="3" t="s">
        <v>14</v>
      </c>
      <c r="F8" s="3">
        <v>149</v>
      </c>
      <c r="G8" s="3">
        <v>3.49</v>
      </c>
      <c r="H8">
        <f t="shared" si="0"/>
        <v>520.01</v>
      </c>
    </row>
    <row r="9" spans="1:8" ht="15.6" x14ac:dyDescent="0.3">
      <c r="A9" s="2">
        <v>43855</v>
      </c>
      <c r="B9" s="3" t="s">
        <v>15</v>
      </c>
      <c r="C9" s="3" t="s">
        <v>16</v>
      </c>
      <c r="D9" s="3" t="s">
        <v>11</v>
      </c>
      <c r="E9" s="3" t="s">
        <v>12</v>
      </c>
      <c r="F9" s="3">
        <v>51</v>
      </c>
      <c r="G9" s="3">
        <v>1.77</v>
      </c>
      <c r="H9">
        <f t="shared" si="0"/>
        <v>90.27</v>
      </c>
    </row>
    <row r="10" spans="1:8" ht="15.6" x14ac:dyDescent="0.3">
      <c r="A10" s="2">
        <v>43858</v>
      </c>
      <c r="B10" s="3" t="s">
        <v>9</v>
      </c>
      <c r="C10" s="3" t="s">
        <v>19</v>
      </c>
      <c r="D10" s="3" t="s">
        <v>11</v>
      </c>
      <c r="E10" s="3" t="s">
        <v>12</v>
      </c>
      <c r="F10" s="3">
        <v>100</v>
      </c>
      <c r="G10" s="3">
        <v>1.77</v>
      </c>
      <c r="H10">
        <f t="shared" si="0"/>
        <v>177</v>
      </c>
    </row>
    <row r="11" spans="1:8" ht="15.6" x14ac:dyDescent="0.3">
      <c r="A11" s="2">
        <v>43861</v>
      </c>
      <c r="B11" s="3" t="s">
        <v>9</v>
      </c>
      <c r="C11" s="3" t="s">
        <v>19</v>
      </c>
      <c r="D11" s="3" t="s">
        <v>21</v>
      </c>
      <c r="E11" s="3" t="s">
        <v>22</v>
      </c>
      <c r="F11" s="3">
        <v>28</v>
      </c>
      <c r="G11" s="3">
        <v>1.35</v>
      </c>
      <c r="H11">
        <f t="shared" si="0"/>
        <v>37.800000000000004</v>
      </c>
    </row>
    <row r="12" spans="1:8" ht="15.6" x14ac:dyDescent="0.3">
      <c r="A12" s="2">
        <v>43864</v>
      </c>
      <c r="B12" s="3" t="s">
        <v>9</v>
      </c>
      <c r="C12" s="3" t="s">
        <v>10</v>
      </c>
      <c r="D12" s="3" t="s">
        <v>17</v>
      </c>
      <c r="E12" s="3" t="s">
        <v>20</v>
      </c>
      <c r="F12" s="3">
        <v>36</v>
      </c>
      <c r="G12" s="3">
        <v>2.1800000000000002</v>
      </c>
      <c r="H12">
        <f t="shared" si="0"/>
        <v>78.48</v>
      </c>
    </row>
    <row r="13" spans="1:8" x14ac:dyDescent="0.3">
      <c r="G13" s="1" t="s">
        <v>30</v>
      </c>
      <c r="H13">
        <f>SUMIFS(H2:H13,B2:B13,"West",E2:E13,"Carrot")</f>
        <v>90.27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F92C-05D8-43AB-8A51-F3C18D212A55}">
  <dimension ref="A1:H13"/>
  <sheetViews>
    <sheetView workbookViewId="0">
      <selection activeCell="C17" sqref="C17"/>
    </sheetView>
  </sheetViews>
  <sheetFormatPr defaultRowHeight="14.4" x14ac:dyDescent="0.3"/>
  <cols>
    <col min="1" max="1" width="11.88671875" customWidth="1"/>
    <col min="7" max="7" width="15" customWidth="1"/>
    <col min="8" max="8" width="1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>
        <v>43831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33</v>
      </c>
      <c r="G2" s="3">
        <v>1.77</v>
      </c>
      <c r="H2">
        <f>F2*G2</f>
        <v>58.410000000000004</v>
      </c>
    </row>
    <row r="3" spans="1:8" ht="15.6" x14ac:dyDescent="0.3">
      <c r="A3" t="s">
        <v>49</v>
      </c>
      <c r="B3" s="3" t="s">
        <v>9</v>
      </c>
      <c r="C3" s="3" t="s">
        <v>10</v>
      </c>
      <c r="D3" s="3" t="s">
        <v>13</v>
      </c>
      <c r="E3" s="3" t="s">
        <v>14</v>
      </c>
      <c r="F3" s="3">
        <v>87</v>
      </c>
      <c r="G3" s="3">
        <v>3.49</v>
      </c>
      <c r="H3">
        <f t="shared" ref="H3:H12" si="0">F3*G3</f>
        <v>303.63</v>
      </c>
    </row>
    <row r="4" spans="1:8" ht="15.6" x14ac:dyDescent="0.3">
      <c r="A4" s="2">
        <v>43837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58</v>
      </c>
      <c r="G4" s="3">
        <v>1.87</v>
      </c>
      <c r="H4">
        <f t="shared" si="0"/>
        <v>108.46000000000001</v>
      </c>
    </row>
    <row r="5" spans="1:8" ht="15.6" x14ac:dyDescent="0.3">
      <c r="A5" s="2">
        <v>43840</v>
      </c>
      <c r="B5" s="3" t="s">
        <v>9</v>
      </c>
      <c r="C5" s="3" t="s">
        <v>19</v>
      </c>
      <c r="D5" s="3" t="s">
        <v>17</v>
      </c>
      <c r="E5" s="3" t="s">
        <v>18</v>
      </c>
      <c r="F5" s="3">
        <v>82</v>
      </c>
      <c r="G5" s="3">
        <v>1.87</v>
      </c>
      <c r="H5">
        <f t="shared" si="0"/>
        <v>153.34</v>
      </c>
    </row>
    <row r="6" spans="1:8" ht="15.6" x14ac:dyDescent="0.3">
      <c r="A6" s="2">
        <v>43843</v>
      </c>
      <c r="B6" s="3" t="s">
        <v>9</v>
      </c>
      <c r="C6" s="3" t="s">
        <v>10</v>
      </c>
      <c r="D6" s="3" t="s">
        <v>17</v>
      </c>
      <c r="E6" s="3" t="s">
        <v>20</v>
      </c>
      <c r="F6" s="3">
        <v>38</v>
      </c>
      <c r="G6" s="3">
        <v>2.1800000000000002</v>
      </c>
      <c r="H6">
        <f t="shared" si="0"/>
        <v>82.84</v>
      </c>
    </row>
    <row r="7" spans="1:8" ht="15.6" x14ac:dyDescent="0.3">
      <c r="A7" s="2">
        <v>43846</v>
      </c>
      <c r="B7" s="3" t="s">
        <v>9</v>
      </c>
      <c r="C7" s="3" t="s">
        <v>10</v>
      </c>
      <c r="D7" s="3" t="s">
        <v>11</v>
      </c>
      <c r="E7" s="3" t="s">
        <v>12</v>
      </c>
      <c r="F7" s="3">
        <v>54</v>
      </c>
      <c r="G7" s="3">
        <v>1.77</v>
      </c>
      <c r="H7">
        <f t="shared" si="0"/>
        <v>95.58</v>
      </c>
    </row>
    <row r="8" spans="1:8" ht="15.6" x14ac:dyDescent="0.3">
      <c r="A8" s="2">
        <v>43849</v>
      </c>
      <c r="B8" s="3" t="s">
        <v>9</v>
      </c>
      <c r="C8" s="3" t="s">
        <v>10</v>
      </c>
      <c r="D8" s="3" t="s">
        <v>13</v>
      </c>
      <c r="E8" s="3" t="s">
        <v>14</v>
      </c>
      <c r="F8" s="3">
        <v>149</v>
      </c>
      <c r="G8" s="3">
        <v>3.49</v>
      </c>
      <c r="H8">
        <f t="shared" si="0"/>
        <v>520.01</v>
      </c>
    </row>
    <row r="9" spans="1:8" ht="15.6" x14ac:dyDescent="0.3">
      <c r="A9" s="2">
        <v>43855</v>
      </c>
      <c r="B9" s="3" t="s">
        <v>15</v>
      </c>
      <c r="C9" s="3" t="s">
        <v>16</v>
      </c>
      <c r="D9" s="3" t="s">
        <v>11</v>
      </c>
      <c r="E9" s="3" t="s">
        <v>12</v>
      </c>
      <c r="F9" s="3">
        <v>51</v>
      </c>
      <c r="G9" s="3">
        <v>1.77</v>
      </c>
      <c r="H9">
        <f t="shared" si="0"/>
        <v>90.27</v>
      </c>
    </row>
    <row r="10" spans="1:8" ht="15.6" x14ac:dyDescent="0.3">
      <c r="A10" s="2">
        <v>43858</v>
      </c>
      <c r="B10" s="3" t="s">
        <v>9</v>
      </c>
      <c r="C10" s="3" t="s">
        <v>19</v>
      </c>
      <c r="D10" s="3" t="s">
        <v>11</v>
      </c>
      <c r="E10" s="3" t="s">
        <v>12</v>
      </c>
      <c r="F10" s="3">
        <v>100</v>
      </c>
      <c r="G10" s="3">
        <v>1.77</v>
      </c>
      <c r="H10">
        <f t="shared" si="0"/>
        <v>177</v>
      </c>
    </row>
    <row r="11" spans="1:8" ht="15.6" x14ac:dyDescent="0.3">
      <c r="A11" s="2">
        <v>43861</v>
      </c>
      <c r="B11" s="3" t="s">
        <v>9</v>
      </c>
      <c r="C11" s="3" t="s">
        <v>19</v>
      </c>
      <c r="D11" s="3" t="s">
        <v>21</v>
      </c>
      <c r="E11" s="3" t="s">
        <v>22</v>
      </c>
      <c r="F11" s="3">
        <v>28</v>
      </c>
      <c r="G11" s="3">
        <v>1.35</v>
      </c>
      <c r="H11">
        <f t="shared" si="0"/>
        <v>37.800000000000004</v>
      </c>
    </row>
    <row r="12" spans="1:8" ht="15.6" x14ac:dyDescent="0.3">
      <c r="A12" s="2">
        <v>43864</v>
      </c>
      <c r="B12" s="3" t="s">
        <v>9</v>
      </c>
      <c r="C12" s="3" t="s">
        <v>10</v>
      </c>
      <c r="D12" s="3" t="s">
        <v>17</v>
      </c>
      <c r="E12" s="3" t="s">
        <v>20</v>
      </c>
      <c r="F12" s="3">
        <v>36</v>
      </c>
      <c r="G12" s="3">
        <v>2.1800000000000002</v>
      </c>
      <c r="H12">
        <f t="shared" si="0"/>
        <v>78.48</v>
      </c>
    </row>
    <row r="13" spans="1:8" x14ac:dyDescent="0.3">
      <c r="G13" s="1" t="s">
        <v>32</v>
      </c>
      <c r="H13">
        <f>SUMIFS(H2:H13,C2:C13,"Boston",F2:F13,"&gt;20")</f>
        <v>1138.95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11BE-95D4-4952-872B-EEE36AF54BF3}">
  <dimension ref="A1:H15"/>
  <sheetViews>
    <sheetView workbookViewId="0">
      <selection activeCell="A3" sqref="A3"/>
    </sheetView>
  </sheetViews>
  <sheetFormatPr defaultRowHeight="14.4" x14ac:dyDescent="0.3"/>
  <cols>
    <col min="1" max="1" width="12.44140625" customWidth="1"/>
    <col min="3" max="3" width="15.21875" customWidth="1"/>
    <col min="4" max="4" width="14.109375" customWidth="1"/>
    <col min="8" max="8" width="13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>
        <v>43831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33</v>
      </c>
      <c r="G2" s="3">
        <v>1.77</v>
      </c>
      <c r="H2">
        <f>F2*G2</f>
        <v>58.410000000000004</v>
      </c>
    </row>
    <row r="3" spans="1:8" ht="15.6" x14ac:dyDescent="0.3">
      <c r="A3" t="s">
        <v>48</v>
      </c>
      <c r="B3" s="3" t="s">
        <v>9</v>
      </c>
      <c r="C3" s="3" t="s">
        <v>10</v>
      </c>
      <c r="D3" s="3" t="s">
        <v>13</v>
      </c>
      <c r="E3" s="3" t="s">
        <v>14</v>
      </c>
      <c r="F3" s="3">
        <v>87</v>
      </c>
      <c r="G3" s="3">
        <v>3.49</v>
      </c>
      <c r="H3">
        <f t="shared" ref="H3:H12" si="0">F3*G3</f>
        <v>303.63</v>
      </c>
    </row>
    <row r="4" spans="1:8" ht="15.6" x14ac:dyDescent="0.3">
      <c r="A4" s="2">
        <v>43837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58</v>
      </c>
      <c r="G4" s="3">
        <v>1.87</v>
      </c>
      <c r="H4">
        <f t="shared" si="0"/>
        <v>108.46000000000001</v>
      </c>
    </row>
    <row r="5" spans="1:8" ht="15.6" x14ac:dyDescent="0.3">
      <c r="A5" s="2">
        <v>43840</v>
      </c>
      <c r="B5" s="3" t="s">
        <v>9</v>
      </c>
      <c r="C5" s="3" t="s">
        <v>19</v>
      </c>
      <c r="D5" s="3" t="s">
        <v>17</v>
      </c>
      <c r="E5" s="3" t="s">
        <v>18</v>
      </c>
      <c r="F5" s="3">
        <v>82</v>
      </c>
      <c r="G5" s="3">
        <v>1.87</v>
      </c>
      <c r="H5">
        <f t="shared" si="0"/>
        <v>153.34</v>
      </c>
    </row>
    <row r="6" spans="1:8" ht="15.6" x14ac:dyDescent="0.3">
      <c r="A6" s="2">
        <v>43843</v>
      </c>
      <c r="B6" s="3" t="s">
        <v>9</v>
      </c>
      <c r="C6" s="3" t="s">
        <v>10</v>
      </c>
      <c r="D6" s="3" t="s">
        <v>17</v>
      </c>
      <c r="E6" s="3" t="s">
        <v>20</v>
      </c>
      <c r="F6" s="3">
        <v>38</v>
      </c>
      <c r="G6" s="3">
        <v>2.1800000000000002</v>
      </c>
      <c r="H6">
        <f t="shared" si="0"/>
        <v>82.84</v>
      </c>
    </row>
    <row r="7" spans="1:8" ht="15.6" x14ac:dyDescent="0.3">
      <c r="A7" s="2">
        <v>43846</v>
      </c>
      <c r="B7" s="3" t="s">
        <v>9</v>
      </c>
      <c r="C7" s="3" t="s">
        <v>10</v>
      </c>
      <c r="D7" s="3" t="s">
        <v>11</v>
      </c>
      <c r="E7" s="3" t="s">
        <v>12</v>
      </c>
      <c r="F7" s="3">
        <v>54</v>
      </c>
      <c r="G7" s="3">
        <v>1.77</v>
      </c>
      <c r="H7">
        <f t="shared" si="0"/>
        <v>95.58</v>
      </c>
    </row>
    <row r="8" spans="1:8" ht="15.6" x14ac:dyDescent="0.3">
      <c r="A8" s="2">
        <v>43849</v>
      </c>
      <c r="B8" s="3" t="s">
        <v>9</v>
      </c>
      <c r="C8" s="3" t="s">
        <v>10</v>
      </c>
      <c r="D8" s="3" t="s">
        <v>13</v>
      </c>
      <c r="E8" s="3" t="s">
        <v>14</v>
      </c>
      <c r="F8" s="3">
        <v>149</v>
      </c>
      <c r="G8" s="3">
        <v>3.49</v>
      </c>
      <c r="H8">
        <f t="shared" si="0"/>
        <v>520.01</v>
      </c>
    </row>
    <row r="9" spans="1:8" ht="15.6" x14ac:dyDescent="0.3">
      <c r="A9" s="2">
        <v>43855</v>
      </c>
      <c r="B9" s="3" t="s">
        <v>15</v>
      </c>
      <c r="C9" s="3" t="s">
        <v>16</v>
      </c>
      <c r="D9" s="3" t="s">
        <v>11</v>
      </c>
      <c r="E9" s="3" t="s">
        <v>12</v>
      </c>
      <c r="F9" s="3">
        <v>51</v>
      </c>
      <c r="G9" s="3">
        <v>1.77</v>
      </c>
      <c r="H9">
        <f t="shared" si="0"/>
        <v>90.27</v>
      </c>
    </row>
    <row r="10" spans="1:8" ht="15.6" x14ac:dyDescent="0.3">
      <c r="A10" s="2">
        <v>43858</v>
      </c>
      <c r="B10" s="3" t="s">
        <v>9</v>
      </c>
      <c r="C10" s="3" t="s">
        <v>19</v>
      </c>
      <c r="D10" s="3" t="s">
        <v>11</v>
      </c>
      <c r="E10" s="3" t="s">
        <v>12</v>
      </c>
      <c r="F10" s="3">
        <v>100</v>
      </c>
      <c r="G10" s="3">
        <v>1.77</v>
      </c>
      <c r="H10">
        <f t="shared" si="0"/>
        <v>177</v>
      </c>
    </row>
    <row r="11" spans="1:8" ht="15.6" x14ac:dyDescent="0.3">
      <c r="A11" s="2">
        <v>43861</v>
      </c>
      <c r="B11" s="3" t="s">
        <v>9</v>
      </c>
      <c r="C11" s="3" t="s">
        <v>19</v>
      </c>
      <c r="D11" s="3" t="s">
        <v>21</v>
      </c>
      <c r="E11" s="3" t="s">
        <v>22</v>
      </c>
      <c r="F11" s="3">
        <v>28</v>
      </c>
      <c r="G11" s="3">
        <v>1.35</v>
      </c>
      <c r="H11">
        <f t="shared" si="0"/>
        <v>37.800000000000004</v>
      </c>
    </row>
    <row r="12" spans="1:8" ht="15.6" x14ac:dyDescent="0.3">
      <c r="A12" s="2">
        <v>43864</v>
      </c>
      <c r="B12" s="3" t="s">
        <v>9</v>
      </c>
      <c r="C12" s="3" t="s">
        <v>10</v>
      </c>
      <c r="D12" s="3" t="s">
        <v>17</v>
      </c>
      <c r="E12" s="3" t="s">
        <v>20</v>
      </c>
      <c r="F12" s="3">
        <v>36</v>
      </c>
      <c r="G12" s="3">
        <v>2.1800000000000002</v>
      </c>
      <c r="H12">
        <f t="shared" si="0"/>
        <v>78.48</v>
      </c>
    </row>
    <row r="13" spans="1:8" x14ac:dyDescent="0.3">
      <c r="D13" s="1" t="s">
        <v>38</v>
      </c>
      <c r="E13" s="1" t="s">
        <v>35</v>
      </c>
      <c r="F13">
        <f>MAX(F2:F12)</f>
        <v>149</v>
      </c>
    </row>
    <row r="14" spans="1:8" ht="15.6" x14ac:dyDescent="0.3">
      <c r="E14" s="4" t="s">
        <v>34</v>
      </c>
      <c r="F14">
        <f>MIN(F2:F12)</f>
        <v>28</v>
      </c>
    </row>
    <row r="15" spans="1:8" ht="28.8" x14ac:dyDescent="0.3">
      <c r="H15" s="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3B2A-2849-42B3-9900-70C80B620CBE}">
  <dimension ref="A1:H13"/>
  <sheetViews>
    <sheetView workbookViewId="0">
      <selection activeCell="A3" sqref="A3"/>
    </sheetView>
  </sheetViews>
  <sheetFormatPr defaultRowHeight="14.4" x14ac:dyDescent="0.3"/>
  <cols>
    <col min="1" max="1" width="13.21875" customWidth="1"/>
    <col min="5" max="5" width="17.88671875" customWidth="1"/>
    <col min="6" max="6" width="16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>
        <v>43831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33</v>
      </c>
      <c r="G2" s="3">
        <v>1.77</v>
      </c>
      <c r="H2">
        <f>F2*G2</f>
        <v>58.410000000000004</v>
      </c>
    </row>
    <row r="3" spans="1:8" ht="15.6" x14ac:dyDescent="0.3">
      <c r="A3" t="s">
        <v>47</v>
      </c>
      <c r="B3" s="3" t="s">
        <v>9</v>
      </c>
      <c r="C3" s="3" t="s">
        <v>10</v>
      </c>
      <c r="D3" s="3" t="s">
        <v>13</v>
      </c>
      <c r="E3" s="3" t="s">
        <v>14</v>
      </c>
      <c r="F3" s="3">
        <v>87</v>
      </c>
      <c r="G3" s="3">
        <v>3.49</v>
      </c>
      <c r="H3">
        <f t="shared" ref="H3:H12" si="0">F3*G3</f>
        <v>303.63</v>
      </c>
    </row>
    <row r="4" spans="1:8" ht="15.6" x14ac:dyDescent="0.3">
      <c r="A4" s="2">
        <v>43837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58</v>
      </c>
      <c r="G4" s="3">
        <v>1.87</v>
      </c>
      <c r="H4">
        <f t="shared" si="0"/>
        <v>108.46000000000001</v>
      </c>
    </row>
    <row r="5" spans="1:8" ht="15.6" x14ac:dyDescent="0.3">
      <c r="A5" s="2">
        <v>43840</v>
      </c>
      <c r="B5" s="3" t="s">
        <v>9</v>
      </c>
      <c r="C5" s="3" t="s">
        <v>19</v>
      </c>
      <c r="D5" s="3" t="s">
        <v>17</v>
      </c>
      <c r="E5" s="3" t="s">
        <v>18</v>
      </c>
      <c r="F5" s="3">
        <v>82</v>
      </c>
      <c r="G5" s="3">
        <v>1.87</v>
      </c>
      <c r="H5">
        <f t="shared" si="0"/>
        <v>153.34</v>
      </c>
    </row>
    <row r="6" spans="1:8" ht="15.6" x14ac:dyDescent="0.3">
      <c r="A6" s="2">
        <v>43843</v>
      </c>
      <c r="B6" s="3" t="s">
        <v>9</v>
      </c>
      <c r="C6" s="3" t="s">
        <v>10</v>
      </c>
      <c r="D6" s="3" t="s">
        <v>17</v>
      </c>
      <c r="E6" s="3" t="s">
        <v>20</v>
      </c>
      <c r="F6" s="3">
        <v>38</v>
      </c>
      <c r="G6" s="3">
        <v>2.1800000000000002</v>
      </c>
      <c r="H6">
        <f t="shared" si="0"/>
        <v>82.84</v>
      </c>
    </row>
    <row r="7" spans="1:8" ht="15.6" x14ac:dyDescent="0.3">
      <c r="A7" s="2">
        <v>43846</v>
      </c>
      <c r="B7" s="3" t="s">
        <v>9</v>
      </c>
      <c r="C7" s="3" t="s">
        <v>10</v>
      </c>
      <c r="D7" s="3" t="s">
        <v>11</v>
      </c>
      <c r="E7" s="3" t="s">
        <v>12</v>
      </c>
      <c r="F7" s="3">
        <v>54</v>
      </c>
      <c r="G7" s="3">
        <v>1.77</v>
      </c>
      <c r="H7">
        <f t="shared" si="0"/>
        <v>95.58</v>
      </c>
    </row>
    <row r="8" spans="1:8" ht="15.6" x14ac:dyDescent="0.3">
      <c r="A8" s="2">
        <v>43849</v>
      </c>
      <c r="B8" s="3" t="s">
        <v>9</v>
      </c>
      <c r="C8" s="3" t="s">
        <v>10</v>
      </c>
      <c r="D8" s="3" t="s">
        <v>13</v>
      </c>
      <c r="E8" s="3" t="s">
        <v>14</v>
      </c>
      <c r="F8" s="3">
        <v>149</v>
      </c>
      <c r="G8" s="3">
        <v>3.49</v>
      </c>
      <c r="H8">
        <f t="shared" si="0"/>
        <v>520.01</v>
      </c>
    </row>
    <row r="9" spans="1:8" ht="15.6" x14ac:dyDescent="0.3">
      <c r="A9" s="2">
        <v>43855</v>
      </c>
      <c r="B9" s="3" t="s">
        <v>15</v>
      </c>
      <c r="C9" s="3" t="s">
        <v>16</v>
      </c>
      <c r="D9" s="3" t="s">
        <v>11</v>
      </c>
      <c r="E9" s="3" t="s">
        <v>12</v>
      </c>
      <c r="F9" s="3">
        <v>51</v>
      </c>
      <c r="G9" s="3">
        <v>1.77</v>
      </c>
      <c r="H9">
        <f t="shared" si="0"/>
        <v>90.27</v>
      </c>
    </row>
    <row r="10" spans="1:8" ht="15.6" x14ac:dyDescent="0.3">
      <c r="A10" s="2">
        <v>43858</v>
      </c>
      <c r="B10" s="3" t="s">
        <v>9</v>
      </c>
      <c r="C10" s="3" t="s">
        <v>19</v>
      </c>
      <c r="D10" s="3" t="s">
        <v>11</v>
      </c>
      <c r="E10" s="3" t="s">
        <v>12</v>
      </c>
      <c r="F10" s="3">
        <v>100</v>
      </c>
      <c r="G10" s="3">
        <v>1.77</v>
      </c>
      <c r="H10">
        <f t="shared" si="0"/>
        <v>177</v>
      </c>
    </row>
    <row r="11" spans="1:8" ht="15.6" x14ac:dyDescent="0.3">
      <c r="A11" s="2">
        <v>43861</v>
      </c>
      <c r="B11" s="3" t="s">
        <v>9</v>
      </c>
      <c r="C11" s="3" t="s">
        <v>19</v>
      </c>
      <c r="D11" s="3" t="s">
        <v>21</v>
      </c>
      <c r="E11" s="3" t="s">
        <v>22</v>
      </c>
      <c r="F11" s="3">
        <v>28</v>
      </c>
      <c r="G11" s="3">
        <v>1.35</v>
      </c>
      <c r="H11">
        <f t="shared" si="0"/>
        <v>37.800000000000004</v>
      </c>
    </row>
    <row r="12" spans="1:8" ht="15.6" x14ac:dyDescent="0.3">
      <c r="A12" s="2">
        <v>43864</v>
      </c>
      <c r="B12" s="3" t="s">
        <v>9</v>
      </c>
      <c r="C12" s="3" t="s">
        <v>10</v>
      </c>
      <c r="D12" s="3" t="s">
        <v>17</v>
      </c>
      <c r="E12" s="3" t="s">
        <v>20</v>
      </c>
      <c r="F12" s="3">
        <v>36</v>
      </c>
      <c r="G12" s="3">
        <v>2.1800000000000002</v>
      </c>
      <c r="H12">
        <f t="shared" si="0"/>
        <v>78.48</v>
      </c>
    </row>
    <row r="13" spans="1:8" x14ac:dyDescent="0.3">
      <c r="F13" s="1" t="s">
        <v>36</v>
      </c>
      <c r="G13" s="1" t="s">
        <v>37</v>
      </c>
      <c r="H13">
        <f>SUMIFS(H2:H12,E2:E12,"Carrot")+SUMIFS(H2:H12,E2:E12,"Whole Wheat")+SUMIFS(H2:H12,E2:E12,"Arrowroot")</f>
        <v>1406.22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A4A4-A16C-44D1-BB2A-D9F73FC03E9C}">
  <dimension ref="A1:H13"/>
  <sheetViews>
    <sheetView workbookViewId="0">
      <selection activeCell="A3" sqref="A3"/>
    </sheetView>
  </sheetViews>
  <sheetFormatPr defaultRowHeight="14.4" x14ac:dyDescent="0.3"/>
  <cols>
    <col min="1" max="1" width="13.6640625" customWidth="1"/>
    <col min="5" max="5" width="15.44140625" customWidth="1"/>
    <col min="6" max="6" width="14.33203125" customWidth="1"/>
    <col min="7" max="7" width="12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>
        <v>43831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33</v>
      </c>
      <c r="G2" s="3">
        <v>1.77</v>
      </c>
      <c r="H2">
        <f>F2*G2</f>
        <v>58.410000000000004</v>
      </c>
    </row>
    <row r="3" spans="1:8" ht="15.6" x14ac:dyDescent="0.3">
      <c r="A3" t="s">
        <v>47</v>
      </c>
      <c r="B3" s="3" t="s">
        <v>9</v>
      </c>
      <c r="C3" s="3" t="s">
        <v>10</v>
      </c>
      <c r="D3" s="3" t="s">
        <v>13</v>
      </c>
      <c r="E3" s="3" t="s">
        <v>14</v>
      </c>
      <c r="F3" s="3">
        <v>87</v>
      </c>
      <c r="G3" s="3">
        <v>3.49</v>
      </c>
      <c r="H3">
        <f t="shared" ref="H3:H12" si="0">F3*G3</f>
        <v>303.63</v>
      </c>
    </row>
    <row r="4" spans="1:8" ht="15.6" x14ac:dyDescent="0.3">
      <c r="A4" s="2">
        <v>43837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58</v>
      </c>
      <c r="G4" s="3">
        <v>1.87</v>
      </c>
      <c r="H4">
        <f t="shared" si="0"/>
        <v>108.46000000000001</v>
      </c>
    </row>
    <row r="5" spans="1:8" ht="15.6" x14ac:dyDescent="0.3">
      <c r="A5" s="2">
        <v>43840</v>
      </c>
      <c r="B5" s="3" t="s">
        <v>9</v>
      </c>
      <c r="C5" s="3" t="s">
        <v>19</v>
      </c>
      <c r="D5" s="3" t="s">
        <v>17</v>
      </c>
      <c r="E5" s="3" t="s">
        <v>18</v>
      </c>
      <c r="F5" s="3">
        <v>82</v>
      </c>
      <c r="G5" s="3">
        <v>1.87</v>
      </c>
      <c r="H5">
        <f t="shared" si="0"/>
        <v>153.34</v>
      </c>
    </row>
    <row r="6" spans="1:8" ht="15.6" x14ac:dyDescent="0.3">
      <c r="A6" s="2">
        <v>43843</v>
      </c>
      <c r="B6" s="3" t="s">
        <v>9</v>
      </c>
      <c r="C6" s="3" t="s">
        <v>10</v>
      </c>
      <c r="D6" s="3" t="s">
        <v>17</v>
      </c>
      <c r="E6" s="3" t="s">
        <v>20</v>
      </c>
      <c r="F6" s="3">
        <v>38</v>
      </c>
      <c r="G6" s="3">
        <v>2.1800000000000002</v>
      </c>
      <c r="H6">
        <f t="shared" si="0"/>
        <v>82.84</v>
      </c>
    </row>
    <row r="7" spans="1:8" ht="15.6" x14ac:dyDescent="0.3">
      <c r="A7" s="2">
        <v>43846</v>
      </c>
      <c r="B7" s="3" t="s">
        <v>9</v>
      </c>
      <c r="C7" s="3" t="s">
        <v>10</v>
      </c>
      <c r="D7" s="3" t="s">
        <v>11</v>
      </c>
      <c r="E7" s="3" t="s">
        <v>12</v>
      </c>
      <c r="F7" s="3">
        <v>54</v>
      </c>
      <c r="G7" s="3">
        <v>1.77</v>
      </c>
      <c r="H7">
        <f t="shared" si="0"/>
        <v>95.58</v>
      </c>
    </row>
    <row r="8" spans="1:8" ht="15.6" x14ac:dyDescent="0.3">
      <c r="A8" s="2">
        <v>43849</v>
      </c>
      <c r="B8" s="3" t="s">
        <v>9</v>
      </c>
      <c r="C8" s="3" t="s">
        <v>10</v>
      </c>
      <c r="D8" s="3" t="s">
        <v>13</v>
      </c>
      <c r="E8" s="3" t="s">
        <v>14</v>
      </c>
      <c r="F8" s="3">
        <v>149</v>
      </c>
      <c r="G8" s="3">
        <v>3.49</v>
      </c>
      <c r="H8">
        <f t="shared" si="0"/>
        <v>520.01</v>
      </c>
    </row>
    <row r="9" spans="1:8" ht="15.6" x14ac:dyDescent="0.3">
      <c r="A9" s="2">
        <v>43855</v>
      </c>
      <c r="B9" s="3" t="s">
        <v>15</v>
      </c>
      <c r="C9" s="3" t="s">
        <v>16</v>
      </c>
      <c r="D9" s="3" t="s">
        <v>11</v>
      </c>
      <c r="E9" s="3" t="s">
        <v>12</v>
      </c>
      <c r="F9" s="3">
        <v>51</v>
      </c>
      <c r="G9" s="3">
        <v>1.77</v>
      </c>
      <c r="H9">
        <f t="shared" si="0"/>
        <v>90.27</v>
      </c>
    </row>
    <row r="10" spans="1:8" ht="15.6" x14ac:dyDescent="0.3">
      <c r="A10" s="2">
        <v>43858</v>
      </c>
      <c r="B10" s="3" t="s">
        <v>9</v>
      </c>
      <c r="C10" s="3" t="s">
        <v>19</v>
      </c>
      <c r="D10" s="3" t="s">
        <v>11</v>
      </c>
      <c r="E10" s="3" t="s">
        <v>12</v>
      </c>
      <c r="F10" s="3">
        <v>100</v>
      </c>
      <c r="G10" s="3">
        <v>1.77</v>
      </c>
      <c r="H10">
        <f t="shared" si="0"/>
        <v>177</v>
      </c>
    </row>
    <row r="11" spans="1:8" ht="15.6" x14ac:dyDescent="0.3">
      <c r="A11" s="2">
        <v>43861</v>
      </c>
      <c r="B11" s="3" t="s">
        <v>9</v>
      </c>
      <c r="C11" s="3" t="s">
        <v>19</v>
      </c>
      <c r="D11" s="3" t="s">
        <v>21</v>
      </c>
      <c r="E11" s="3" t="s">
        <v>22</v>
      </c>
      <c r="F11" s="3">
        <v>28</v>
      </c>
      <c r="G11" s="3">
        <v>1.35</v>
      </c>
      <c r="H11">
        <f t="shared" si="0"/>
        <v>37.800000000000004</v>
      </c>
    </row>
    <row r="12" spans="1:8" ht="15.6" x14ac:dyDescent="0.3">
      <c r="A12" s="2">
        <v>43864</v>
      </c>
      <c r="B12" s="3" t="s">
        <v>9</v>
      </c>
      <c r="C12" s="3" t="s">
        <v>10</v>
      </c>
      <c r="D12" s="3" t="s">
        <v>17</v>
      </c>
      <c r="E12" s="3" t="s">
        <v>20</v>
      </c>
      <c r="F12" s="3">
        <v>36</v>
      </c>
      <c r="G12" s="3">
        <v>2.1800000000000002</v>
      </c>
      <c r="H12">
        <f t="shared" si="0"/>
        <v>78.48</v>
      </c>
    </row>
    <row r="13" spans="1:8" x14ac:dyDescent="0.3">
      <c r="F13" s="1" t="s">
        <v>40</v>
      </c>
      <c r="G13" s="1" t="s">
        <v>39</v>
      </c>
      <c r="H13">
        <f>SUMIFS(H2:H12,D2:D12,"Cookies",E2:E12,"Chocolate Chip")</f>
        <v>261.8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6575-824B-4049-8DE9-1810CB1DB90C}">
  <dimension ref="A1:H16"/>
  <sheetViews>
    <sheetView workbookViewId="0">
      <selection activeCell="A3" sqref="A3"/>
    </sheetView>
  </sheetViews>
  <sheetFormatPr defaultRowHeight="14.4" x14ac:dyDescent="0.3"/>
  <cols>
    <col min="1" max="1" width="15.44140625" customWidth="1"/>
    <col min="3" max="3" width="14.88671875" customWidth="1"/>
    <col min="5" max="5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>
        <v>43831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33</v>
      </c>
      <c r="G2" s="3">
        <v>1.77</v>
      </c>
      <c r="H2">
        <f>F2*G2</f>
        <v>58.410000000000004</v>
      </c>
    </row>
    <row r="3" spans="1:8" ht="15.6" x14ac:dyDescent="0.3">
      <c r="A3" t="s">
        <v>47</v>
      </c>
      <c r="B3" s="3" t="s">
        <v>9</v>
      </c>
      <c r="C3" s="3" t="s">
        <v>10</v>
      </c>
      <c r="D3" s="3" t="s">
        <v>13</v>
      </c>
      <c r="E3" s="3" t="s">
        <v>14</v>
      </c>
      <c r="F3" s="3">
        <v>87</v>
      </c>
      <c r="G3" s="3">
        <v>3.49</v>
      </c>
      <c r="H3">
        <f t="shared" ref="H3:H12" si="0">F3*G3</f>
        <v>303.63</v>
      </c>
    </row>
    <row r="4" spans="1:8" ht="15.6" x14ac:dyDescent="0.3">
      <c r="A4" s="2">
        <v>43837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58</v>
      </c>
      <c r="G4" s="3">
        <v>1.87</v>
      </c>
      <c r="H4">
        <f t="shared" si="0"/>
        <v>108.46000000000001</v>
      </c>
    </row>
    <row r="5" spans="1:8" ht="15.6" x14ac:dyDescent="0.3">
      <c r="A5" s="2">
        <v>43840</v>
      </c>
      <c r="B5" s="3" t="s">
        <v>9</v>
      </c>
      <c r="C5" s="3" t="s">
        <v>19</v>
      </c>
      <c r="D5" s="3" t="s">
        <v>17</v>
      </c>
      <c r="E5" s="3" t="s">
        <v>18</v>
      </c>
      <c r="F5" s="3">
        <v>82</v>
      </c>
      <c r="G5" s="3">
        <v>1.87</v>
      </c>
      <c r="H5">
        <f t="shared" si="0"/>
        <v>153.34</v>
      </c>
    </row>
    <row r="6" spans="1:8" ht="15.6" x14ac:dyDescent="0.3">
      <c r="A6" s="2">
        <v>43843</v>
      </c>
      <c r="B6" s="3" t="s">
        <v>9</v>
      </c>
      <c r="C6" s="3" t="s">
        <v>10</v>
      </c>
      <c r="D6" s="3" t="s">
        <v>17</v>
      </c>
      <c r="E6" s="3" t="s">
        <v>20</v>
      </c>
      <c r="F6" s="3">
        <v>38</v>
      </c>
      <c r="G6" s="3">
        <v>2.1800000000000002</v>
      </c>
      <c r="H6">
        <f t="shared" si="0"/>
        <v>82.84</v>
      </c>
    </row>
    <row r="7" spans="1:8" ht="15.6" x14ac:dyDescent="0.3">
      <c r="A7" s="2">
        <v>43846</v>
      </c>
      <c r="B7" s="3" t="s">
        <v>9</v>
      </c>
      <c r="C7" s="3" t="s">
        <v>10</v>
      </c>
      <c r="D7" s="3" t="s">
        <v>11</v>
      </c>
      <c r="E7" s="3" t="s">
        <v>12</v>
      </c>
      <c r="F7" s="3">
        <v>54</v>
      </c>
      <c r="G7" s="3">
        <v>1.77</v>
      </c>
      <c r="H7">
        <f t="shared" si="0"/>
        <v>95.58</v>
      </c>
    </row>
    <row r="8" spans="1:8" ht="15.6" x14ac:dyDescent="0.3">
      <c r="A8" s="2">
        <v>43849</v>
      </c>
      <c r="B8" s="3" t="s">
        <v>9</v>
      </c>
      <c r="C8" s="3" t="s">
        <v>10</v>
      </c>
      <c r="D8" s="3" t="s">
        <v>13</v>
      </c>
      <c r="E8" s="3" t="s">
        <v>14</v>
      </c>
      <c r="F8" s="3">
        <v>149</v>
      </c>
      <c r="G8" s="3">
        <v>3.49</v>
      </c>
      <c r="H8">
        <f t="shared" si="0"/>
        <v>520.01</v>
      </c>
    </row>
    <row r="9" spans="1:8" ht="15.6" x14ac:dyDescent="0.3">
      <c r="A9" s="2">
        <v>43855</v>
      </c>
      <c r="B9" s="3" t="s">
        <v>15</v>
      </c>
      <c r="C9" s="3" t="s">
        <v>16</v>
      </c>
      <c r="D9" s="3" t="s">
        <v>11</v>
      </c>
      <c r="E9" s="3" t="s">
        <v>12</v>
      </c>
      <c r="F9" s="3">
        <v>51</v>
      </c>
      <c r="G9" s="3">
        <v>1.77</v>
      </c>
      <c r="H9">
        <f t="shared" si="0"/>
        <v>90.27</v>
      </c>
    </row>
    <row r="10" spans="1:8" ht="15.6" x14ac:dyDescent="0.3">
      <c r="A10" s="2">
        <v>43858</v>
      </c>
      <c r="B10" s="3" t="s">
        <v>9</v>
      </c>
      <c r="C10" s="3" t="s">
        <v>19</v>
      </c>
      <c r="D10" s="3" t="s">
        <v>11</v>
      </c>
      <c r="E10" s="3" t="s">
        <v>12</v>
      </c>
      <c r="F10" s="3">
        <v>100</v>
      </c>
      <c r="G10" s="3">
        <v>1.77</v>
      </c>
      <c r="H10">
        <f t="shared" si="0"/>
        <v>177</v>
      </c>
    </row>
    <row r="11" spans="1:8" ht="15.6" x14ac:dyDescent="0.3">
      <c r="A11" s="2">
        <v>43861</v>
      </c>
      <c r="B11" s="3" t="s">
        <v>9</v>
      </c>
      <c r="C11" s="3" t="s">
        <v>19</v>
      </c>
      <c r="D11" s="3" t="s">
        <v>21</v>
      </c>
      <c r="E11" s="3" t="s">
        <v>22</v>
      </c>
      <c r="F11" s="3">
        <v>28</v>
      </c>
      <c r="G11" s="3">
        <v>1.35</v>
      </c>
      <c r="H11">
        <f t="shared" si="0"/>
        <v>37.800000000000004</v>
      </c>
    </row>
    <row r="12" spans="1:8" ht="15.6" x14ac:dyDescent="0.3">
      <c r="A12" s="2">
        <v>43864</v>
      </c>
      <c r="B12" s="3" t="s">
        <v>9</v>
      </c>
      <c r="C12" s="3" t="s">
        <v>10</v>
      </c>
      <c r="D12" s="3" t="s">
        <v>17</v>
      </c>
      <c r="E12" s="3" t="s">
        <v>20</v>
      </c>
      <c r="F12" s="3">
        <v>36</v>
      </c>
      <c r="G12" s="3">
        <v>2.1800000000000002</v>
      </c>
      <c r="H12">
        <f t="shared" si="0"/>
        <v>78.48</v>
      </c>
    </row>
    <row r="14" spans="1:8" ht="15.6" x14ac:dyDescent="0.3">
      <c r="E14" s="4" t="s">
        <v>41</v>
      </c>
      <c r="F14">
        <f>COUNTIF(E2:E12,"Whole Wheat")</f>
        <v>2</v>
      </c>
    </row>
    <row r="15" spans="1:8" x14ac:dyDescent="0.3">
      <c r="E15" s="1" t="s">
        <v>39</v>
      </c>
      <c r="F15">
        <f>SUMIFS(H2:H12,E2:E12,"Whole Wheat")</f>
        <v>823.64</v>
      </c>
    </row>
    <row r="16" spans="1:8" x14ac:dyDescent="0.3">
      <c r="E16" s="1" t="s">
        <v>42</v>
      </c>
      <c r="F16">
        <f>AVERAGE(F15/F14)</f>
        <v>411.82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8DE1-67A3-4F38-AC94-81EDA9DF7447}">
  <dimension ref="A1:H15"/>
  <sheetViews>
    <sheetView workbookViewId="0">
      <selection activeCell="B16" sqref="B16"/>
    </sheetView>
  </sheetViews>
  <sheetFormatPr defaultRowHeight="14.4" x14ac:dyDescent="0.3"/>
  <cols>
    <col min="1" max="1" width="13.33203125" customWidth="1"/>
    <col min="5" max="5" width="17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>
        <v>43831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33</v>
      </c>
      <c r="G2" s="3">
        <v>1.77</v>
      </c>
      <c r="H2">
        <f>F2*G2</f>
        <v>58.410000000000004</v>
      </c>
    </row>
    <row r="3" spans="1:8" ht="15.6" x14ac:dyDescent="0.3">
      <c r="A3" t="s">
        <v>47</v>
      </c>
      <c r="B3" s="3" t="s">
        <v>9</v>
      </c>
      <c r="C3" s="3" t="s">
        <v>10</v>
      </c>
      <c r="D3" s="3" t="s">
        <v>13</v>
      </c>
      <c r="E3" s="3" t="s">
        <v>14</v>
      </c>
      <c r="F3" s="3">
        <v>87</v>
      </c>
      <c r="G3" s="3">
        <v>3.49</v>
      </c>
      <c r="H3">
        <f t="shared" ref="H3:H12" si="0">F3*G3</f>
        <v>303.63</v>
      </c>
    </row>
    <row r="4" spans="1:8" ht="15.6" x14ac:dyDescent="0.3">
      <c r="A4" s="2">
        <v>43837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58</v>
      </c>
      <c r="G4" s="3">
        <v>1.87</v>
      </c>
      <c r="H4">
        <f t="shared" si="0"/>
        <v>108.46000000000001</v>
      </c>
    </row>
    <row r="5" spans="1:8" ht="15.6" x14ac:dyDescent="0.3">
      <c r="A5" s="2">
        <v>43840</v>
      </c>
      <c r="B5" s="3" t="s">
        <v>9</v>
      </c>
      <c r="C5" s="3" t="s">
        <v>19</v>
      </c>
      <c r="D5" s="3" t="s">
        <v>17</v>
      </c>
      <c r="E5" s="3" t="s">
        <v>18</v>
      </c>
      <c r="F5" s="3">
        <v>82</v>
      </c>
      <c r="G5" s="3">
        <v>1.87</v>
      </c>
      <c r="H5">
        <f t="shared" si="0"/>
        <v>153.34</v>
      </c>
    </row>
    <row r="6" spans="1:8" ht="15.6" x14ac:dyDescent="0.3">
      <c r="A6" s="2">
        <v>43843</v>
      </c>
      <c r="B6" s="3" t="s">
        <v>9</v>
      </c>
      <c r="C6" s="3" t="s">
        <v>10</v>
      </c>
      <c r="D6" s="3" t="s">
        <v>17</v>
      </c>
      <c r="E6" s="3" t="s">
        <v>20</v>
      </c>
      <c r="F6" s="3">
        <v>38</v>
      </c>
      <c r="G6" s="3">
        <v>2.1800000000000002</v>
      </c>
      <c r="H6">
        <f t="shared" si="0"/>
        <v>82.84</v>
      </c>
    </row>
    <row r="7" spans="1:8" ht="15.6" x14ac:dyDescent="0.3">
      <c r="A7" s="2">
        <v>43846</v>
      </c>
      <c r="B7" s="3" t="s">
        <v>9</v>
      </c>
      <c r="C7" s="3" t="s">
        <v>10</v>
      </c>
      <c r="D7" s="3" t="s">
        <v>11</v>
      </c>
      <c r="E7" s="3" t="s">
        <v>12</v>
      </c>
      <c r="F7" s="3">
        <v>54</v>
      </c>
      <c r="G7" s="3">
        <v>1.77</v>
      </c>
      <c r="H7">
        <f t="shared" si="0"/>
        <v>95.58</v>
      </c>
    </row>
    <row r="8" spans="1:8" ht="15.6" x14ac:dyDescent="0.3">
      <c r="A8" s="2">
        <v>43849</v>
      </c>
      <c r="B8" s="3" t="s">
        <v>9</v>
      </c>
      <c r="C8" s="3" t="s">
        <v>10</v>
      </c>
      <c r="D8" s="3" t="s">
        <v>13</v>
      </c>
      <c r="E8" s="3" t="s">
        <v>14</v>
      </c>
      <c r="F8" s="3">
        <v>149</v>
      </c>
      <c r="G8" s="3">
        <v>3.49</v>
      </c>
      <c r="H8">
        <f t="shared" si="0"/>
        <v>520.01</v>
      </c>
    </row>
    <row r="9" spans="1:8" ht="15.6" x14ac:dyDescent="0.3">
      <c r="A9" s="2">
        <v>43855</v>
      </c>
      <c r="B9" s="3" t="s">
        <v>15</v>
      </c>
      <c r="C9" s="3" t="s">
        <v>16</v>
      </c>
      <c r="D9" s="3" t="s">
        <v>11</v>
      </c>
      <c r="E9" s="3" t="s">
        <v>12</v>
      </c>
      <c r="F9" s="3">
        <v>51</v>
      </c>
      <c r="G9" s="3">
        <v>1.77</v>
      </c>
      <c r="H9">
        <f t="shared" si="0"/>
        <v>90.27</v>
      </c>
    </row>
    <row r="10" spans="1:8" ht="15.6" x14ac:dyDescent="0.3">
      <c r="A10" s="2">
        <v>43858</v>
      </c>
      <c r="B10" s="3" t="s">
        <v>9</v>
      </c>
      <c r="C10" s="3" t="s">
        <v>19</v>
      </c>
      <c r="D10" s="3" t="s">
        <v>11</v>
      </c>
      <c r="E10" s="3" t="s">
        <v>12</v>
      </c>
      <c r="F10" s="3">
        <v>100</v>
      </c>
      <c r="G10" s="3">
        <v>1.77</v>
      </c>
      <c r="H10">
        <f t="shared" si="0"/>
        <v>177</v>
      </c>
    </row>
    <row r="11" spans="1:8" ht="15.6" x14ac:dyDescent="0.3">
      <c r="A11" s="2">
        <v>43861</v>
      </c>
      <c r="B11" s="3" t="s">
        <v>9</v>
      </c>
      <c r="C11" s="3" t="s">
        <v>19</v>
      </c>
      <c r="D11" s="3" t="s">
        <v>21</v>
      </c>
      <c r="E11" s="3" t="s">
        <v>22</v>
      </c>
      <c r="F11" s="3">
        <v>28</v>
      </c>
      <c r="G11" s="3">
        <v>1.35</v>
      </c>
      <c r="H11">
        <f t="shared" si="0"/>
        <v>37.800000000000004</v>
      </c>
    </row>
    <row r="12" spans="1:8" ht="15.6" x14ac:dyDescent="0.3">
      <c r="A12" s="2">
        <v>43864</v>
      </c>
      <c r="B12" s="3" t="s">
        <v>9</v>
      </c>
      <c r="C12" s="3" t="s">
        <v>10</v>
      </c>
      <c r="D12" s="3" t="s">
        <v>17</v>
      </c>
      <c r="E12" s="3" t="s">
        <v>20</v>
      </c>
      <c r="F12" s="3">
        <v>36</v>
      </c>
      <c r="G12" s="3">
        <v>2.1800000000000002</v>
      </c>
      <c r="H12">
        <f t="shared" si="0"/>
        <v>78.48</v>
      </c>
    </row>
    <row r="14" spans="1:8" ht="15.6" x14ac:dyDescent="0.3">
      <c r="E14" s="4" t="s">
        <v>43</v>
      </c>
      <c r="F14">
        <f>SUMIF(D2:D12,"Crackers",F2:F12)</f>
        <v>236</v>
      </c>
    </row>
    <row r="15" spans="1:8" x14ac:dyDescent="0.3">
      <c r="F15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1C9E-AB8A-4287-A5C8-80EE6FB5016B}">
  <dimension ref="A1:H20"/>
  <sheetViews>
    <sheetView workbookViewId="0">
      <selection activeCell="A3" sqref="A3"/>
    </sheetView>
  </sheetViews>
  <sheetFormatPr defaultRowHeight="14.4" x14ac:dyDescent="0.3"/>
  <cols>
    <col min="1" max="1" width="14.77734375" customWidth="1"/>
    <col min="3" max="3" width="14.5546875" customWidth="1"/>
    <col min="4" max="4" width="11.33203125" customWidth="1"/>
    <col min="5" max="5" width="19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>
        <v>43831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33</v>
      </c>
      <c r="G2" s="3">
        <v>1.77</v>
      </c>
      <c r="H2">
        <f>F2*G2</f>
        <v>58.410000000000004</v>
      </c>
    </row>
    <row r="3" spans="1:8" ht="15.6" x14ac:dyDescent="0.3">
      <c r="A3" t="s">
        <v>47</v>
      </c>
      <c r="B3" s="3" t="s">
        <v>9</v>
      </c>
      <c r="C3" s="3" t="s">
        <v>10</v>
      </c>
      <c r="D3" s="3" t="s">
        <v>13</v>
      </c>
      <c r="E3" s="3" t="s">
        <v>14</v>
      </c>
      <c r="F3" s="3">
        <v>87</v>
      </c>
      <c r="G3" s="3">
        <v>3.49</v>
      </c>
      <c r="H3">
        <f t="shared" ref="H3:H12" si="0">F3*G3</f>
        <v>303.63</v>
      </c>
    </row>
    <row r="4" spans="1:8" ht="15.6" x14ac:dyDescent="0.3">
      <c r="A4" s="2">
        <v>43837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58</v>
      </c>
      <c r="G4" s="3">
        <v>1.87</v>
      </c>
      <c r="H4">
        <f t="shared" si="0"/>
        <v>108.46000000000001</v>
      </c>
    </row>
    <row r="5" spans="1:8" ht="15.6" x14ac:dyDescent="0.3">
      <c r="A5" s="2">
        <v>43840</v>
      </c>
      <c r="B5" s="3" t="s">
        <v>9</v>
      </c>
      <c r="C5" s="3" t="s">
        <v>19</v>
      </c>
      <c r="D5" s="3" t="s">
        <v>17</v>
      </c>
      <c r="E5" s="3" t="s">
        <v>18</v>
      </c>
      <c r="F5" s="3">
        <v>82</v>
      </c>
      <c r="G5" s="3">
        <v>1.87</v>
      </c>
      <c r="H5">
        <f t="shared" si="0"/>
        <v>153.34</v>
      </c>
    </row>
    <row r="6" spans="1:8" ht="15.6" x14ac:dyDescent="0.3">
      <c r="A6" s="2">
        <v>43843</v>
      </c>
      <c r="B6" s="3" t="s">
        <v>9</v>
      </c>
      <c r="C6" s="3" t="s">
        <v>10</v>
      </c>
      <c r="D6" s="3" t="s">
        <v>17</v>
      </c>
      <c r="E6" s="3" t="s">
        <v>20</v>
      </c>
      <c r="F6" s="3">
        <v>38</v>
      </c>
      <c r="G6" s="3">
        <v>2.1800000000000002</v>
      </c>
      <c r="H6">
        <f t="shared" si="0"/>
        <v>82.84</v>
      </c>
    </row>
    <row r="7" spans="1:8" ht="15.6" x14ac:dyDescent="0.3">
      <c r="A7" s="2">
        <v>43846</v>
      </c>
      <c r="B7" s="3" t="s">
        <v>9</v>
      </c>
      <c r="C7" s="3" t="s">
        <v>10</v>
      </c>
      <c r="D7" s="3" t="s">
        <v>11</v>
      </c>
      <c r="E7" s="3" t="s">
        <v>12</v>
      </c>
      <c r="F7" s="3">
        <v>54</v>
      </c>
      <c r="G7" s="3">
        <v>1.77</v>
      </c>
      <c r="H7">
        <f t="shared" si="0"/>
        <v>95.58</v>
      </c>
    </row>
    <row r="8" spans="1:8" ht="15.6" x14ac:dyDescent="0.3">
      <c r="A8" s="2">
        <v>43849</v>
      </c>
      <c r="B8" s="3" t="s">
        <v>9</v>
      </c>
      <c r="C8" s="3" t="s">
        <v>10</v>
      </c>
      <c r="D8" s="3" t="s">
        <v>13</v>
      </c>
      <c r="E8" s="3" t="s">
        <v>14</v>
      </c>
      <c r="F8" s="3">
        <v>149</v>
      </c>
      <c r="G8" s="3">
        <v>3.49</v>
      </c>
      <c r="H8">
        <f t="shared" si="0"/>
        <v>520.01</v>
      </c>
    </row>
    <row r="9" spans="1:8" ht="15.6" x14ac:dyDescent="0.3">
      <c r="A9" s="2">
        <v>43855</v>
      </c>
      <c r="B9" s="3" t="s">
        <v>15</v>
      </c>
      <c r="C9" s="3" t="s">
        <v>16</v>
      </c>
      <c r="D9" s="3" t="s">
        <v>11</v>
      </c>
      <c r="E9" s="3" t="s">
        <v>12</v>
      </c>
      <c r="F9" s="3">
        <v>51</v>
      </c>
      <c r="G9" s="3">
        <v>1.77</v>
      </c>
      <c r="H9">
        <f t="shared" si="0"/>
        <v>90.27</v>
      </c>
    </row>
    <row r="10" spans="1:8" ht="15.6" x14ac:dyDescent="0.3">
      <c r="A10" s="2">
        <v>43858</v>
      </c>
      <c r="B10" s="3" t="s">
        <v>9</v>
      </c>
      <c r="C10" s="3" t="s">
        <v>19</v>
      </c>
      <c r="D10" s="3" t="s">
        <v>11</v>
      </c>
      <c r="E10" s="3" t="s">
        <v>12</v>
      </c>
      <c r="F10" s="3">
        <v>100</v>
      </c>
      <c r="G10" s="3">
        <v>1.77</v>
      </c>
      <c r="H10">
        <f t="shared" si="0"/>
        <v>177</v>
      </c>
    </row>
    <row r="11" spans="1:8" ht="15.6" x14ac:dyDescent="0.3">
      <c r="A11" s="2">
        <v>43861</v>
      </c>
      <c r="B11" s="3" t="s">
        <v>9</v>
      </c>
      <c r="C11" s="3" t="s">
        <v>19</v>
      </c>
      <c r="D11" s="3" t="s">
        <v>21</v>
      </c>
      <c r="E11" s="3" t="s">
        <v>22</v>
      </c>
      <c r="F11" s="3">
        <v>28</v>
      </c>
      <c r="G11" s="3">
        <v>1.35</v>
      </c>
      <c r="H11">
        <f t="shared" si="0"/>
        <v>37.800000000000004</v>
      </c>
    </row>
    <row r="12" spans="1:8" ht="15.6" x14ac:dyDescent="0.3">
      <c r="A12" s="2">
        <v>43864</v>
      </c>
      <c r="B12" s="3" t="s">
        <v>9</v>
      </c>
      <c r="C12" s="3" t="s">
        <v>10</v>
      </c>
      <c r="D12" s="3" t="s">
        <v>17</v>
      </c>
      <c r="E12" s="3" t="s">
        <v>20</v>
      </c>
      <c r="F12" s="3">
        <v>36</v>
      </c>
      <c r="G12" s="3">
        <v>2.1800000000000002</v>
      </c>
      <c r="H12">
        <f t="shared" si="0"/>
        <v>78.48</v>
      </c>
    </row>
    <row r="14" spans="1:8" ht="15.6" x14ac:dyDescent="0.3">
      <c r="E14" s="3" t="s">
        <v>44</v>
      </c>
      <c r="F14" s="7">
        <f>COUNTIF(D2:D12,"Cookies")</f>
        <v>4</v>
      </c>
    </row>
    <row r="15" spans="1:8" ht="15.6" x14ac:dyDescent="0.3">
      <c r="E15" s="3" t="s">
        <v>39</v>
      </c>
      <c r="F15" s="7">
        <f>SUMIFS(H2:H12,D2:D12,"Cookies")</f>
        <v>423.12</v>
      </c>
    </row>
    <row r="16" spans="1:8" ht="15.6" x14ac:dyDescent="0.3">
      <c r="E16" s="3" t="s">
        <v>42</v>
      </c>
      <c r="F16" s="7">
        <f>AVERAGE(F15/F14)</f>
        <v>105.78</v>
      </c>
    </row>
    <row r="18" spans="5:6" x14ac:dyDescent="0.3">
      <c r="E18" t="s">
        <v>45</v>
      </c>
      <c r="F18" s="7">
        <f>COUNTIF(D2:D12,"Crackers")</f>
        <v>2</v>
      </c>
    </row>
    <row r="19" spans="5:6" ht="15.6" x14ac:dyDescent="0.3">
      <c r="E19" s="3" t="s">
        <v>39</v>
      </c>
      <c r="F19" s="7">
        <f>SUMIFS(H2:H12,D2:D12,"Crackers")</f>
        <v>823.64</v>
      </c>
    </row>
    <row r="20" spans="5:6" ht="15.6" x14ac:dyDescent="0.3">
      <c r="E20" s="3" t="s">
        <v>42</v>
      </c>
      <c r="F20" s="7">
        <f>AVERAGE(F19/F18)</f>
        <v>411.82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34EB-7E8C-452C-83E3-50FBCD891DCC}">
  <dimension ref="A1:H14"/>
  <sheetViews>
    <sheetView workbookViewId="0">
      <selection activeCell="E21" sqref="E21"/>
    </sheetView>
  </sheetViews>
  <sheetFormatPr defaultRowHeight="14.4" x14ac:dyDescent="0.3"/>
  <cols>
    <col min="1" max="1" width="15.21875" customWidth="1"/>
    <col min="3" max="3" width="12.109375" customWidth="1"/>
    <col min="4" max="4" width="10.5546875" customWidth="1"/>
    <col min="5" max="5" width="19.5546875" customWidth="1"/>
    <col min="6" max="6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>
        <v>43831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33</v>
      </c>
      <c r="G2" s="3">
        <v>1.77</v>
      </c>
      <c r="H2">
        <f>F2*G2</f>
        <v>58.410000000000004</v>
      </c>
    </row>
    <row r="3" spans="1:8" ht="15.6" x14ac:dyDescent="0.3">
      <c r="A3" t="s">
        <v>23</v>
      </c>
      <c r="B3" s="3" t="s">
        <v>9</v>
      </c>
      <c r="C3" s="3" t="s">
        <v>10</v>
      </c>
      <c r="D3" s="3" t="s">
        <v>13</v>
      </c>
      <c r="E3" s="3" t="s">
        <v>14</v>
      </c>
      <c r="F3" s="3">
        <v>87</v>
      </c>
      <c r="G3" s="3">
        <v>3.49</v>
      </c>
      <c r="H3">
        <f t="shared" ref="H3:H12" si="0">F3*G3</f>
        <v>303.63</v>
      </c>
    </row>
    <row r="4" spans="1:8" ht="15.6" x14ac:dyDescent="0.3">
      <c r="A4" s="2">
        <v>43837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58</v>
      </c>
      <c r="G4" s="3">
        <v>1.87</v>
      </c>
      <c r="H4">
        <f t="shared" si="0"/>
        <v>108.46000000000001</v>
      </c>
    </row>
    <row r="5" spans="1:8" ht="15.6" x14ac:dyDescent="0.3">
      <c r="A5" s="2">
        <v>43840</v>
      </c>
      <c r="B5" s="3" t="s">
        <v>9</v>
      </c>
      <c r="C5" s="3" t="s">
        <v>19</v>
      </c>
      <c r="D5" s="3" t="s">
        <v>17</v>
      </c>
      <c r="E5" s="3" t="s">
        <v>18</v>
      </c>
      <c r="F5" s="3">
        <v>82</v>
      </c>
      <c r="G5" s="3">
        <v>1.87</v>
      </c>
      <c r="H5">
        <f t="shared" si="0"/>
        <v>153.34</v>
      </c>
    </row>
    <row r="6" spans="1:8" ht="15.6" x14ac:dyDescent="0.3">
      <c r="A6" s="2">
        <v>43843</v>
      </c>
      <c r="B6" s="3" t="s">
        <v>9</v>
      </c>
      <c r="C6" s="3" t="s">
        <v>10</v>
      </c>
      <c r="D6" s="3" t="s">
        <v>17</v>
      </c>
      <c r="E6" s="3" t="s">
        <v>20</v>
      </c>
      <c r="F6" s="3">
        <v>38</v>
      </c>
      <c r="G6" s="3">
        <v>2.1800000000000002</v>
      </c>
      <c r="H6">
        <f t="shared" si="0"/>
        <v>82.84</v>
      </c>
    </row>
    <row r="7" spans="1:8" ht="15.6" x14ac:dyDescent="0.3">
      <c r="A7" s="2">
        <v>43846</v>
      </c>
      <c r="B7" s="3" t="s">
        <v>9</v>
      </c>
      <c r="C7" s="3" t="s">
        <v>10</v>
      </c>
      <c r="D7" s="3" t="s">
        <v>11</v>
      </c>
      <c r="E7" s="3" t="s">
        <v>12</v>
      </c>
      <c r="F7" s="3">
        <v>54</v>
      </c>
      <c r="G7" s="3">
        <v>1.77</v>
      </c>
      <c r="H7">
        <f t="shared" si="0"/>
        <v>95.58</v>
      </c>
    </row>
    <row r="8" spans="1:8" ht="15.6" x14ac:dyDescent="0.3">
      <c r="A8" s="2">
        <v>43849</v>
      </c>
      <c r="B8" s="3" t="s">
        <v>9</v>
      </c>
      <c r="C8" s="3" t="s">
        <v>10</v>
      </c>
      <c r="D8" s="3" t="s">
        <v>13</v>
      </c>
      <c r="E8" s="3" t="s">
        <v>14</v>
      </c>
      <c r="F8" s="3">
        <v>149</v>
      </c>
      <c r="G8" s="3">
        <v>3.49</v>
      </c>
      <c r="H8">
        <f t="shared" si="0"/>
        <v>520.01</v>
      </c>
    </row>
    <row r="9" spans="1:8" ht="15.6" x14ac:dyDescent="0.3">
      <c r="A9" s="2">
        <v>43855</v>
      </c>
      <c r="B9" s="3" t="s">
        <v>15</v>
      </c>
      <c r="C9" s="3" t="s">
        <v>16</v>
      </c>
      <c r="D9" s="3" t="s">
        <v>11</v>
      </c>
      <c r="E9" s="3" t="s">
        <v>12</v>
      </c>
      <c r="F9" s="3">
        <v>51</v>
      </c>
      <c r="G9" s="3">
        <v>1.77</v>
      </c>
      <c r="H9">
        <f t="shared" si="0"/>
        <v>90.27</v>
      </c>
    </row>
    <row r="10" spans="1:8" ht="15.6" x14ac:dyDescent="0.3">
      <c r="A10" s="2">
        <v>43858</v>
      </c>
      <c r="B10" s="3" t="s">
        <v>9</v>
      </c>
      <c r="C10" s="3" t="s">
        <v>19</v>
      </c>
      <c r="D10" s="3" t="s">
        <v>11</v>
      </c>
      <c r="E10" s="3" t="s">
        <v>12</v>
      </c>
      <c r="F10" s="3">
        <v>100</v>
      </c>
      <c r="G10" s="3">
        <v>1.77</v>
      </c>
      <c r="H10">
        <f t="shared" si="0"/>
        <v>177</v>
      </c>
    </row>
    <row r="11" spans="1:8" ht="15.6" x14ac:dyDescent="0.3">
      <c r="A11" s="2">
        <v>43861</v>
      </c>
      <c r="B11" s="3" t="s">
        <v>9</v>
      </c>
      <c r="C11" s="3" t="s">
        <v>19</v>
      </c>
      <c r="D11" s="3" t="s">
        <v>21</v>
      </c>
      <c r="E11" s="3" t="s">
        <v>22</v>
      </c>
      <c r="F11" s="3">
        <v>28</v>
      </c>
      <c r="G11" s="3">
        <v>1.35</v>
      </c>
      <c r="H11">
        <f t="shared" si="0"/>
        <v>37.800000000000004</v>
      </c>
    </row>
    <row r="12" spans="1:8" ht="15.6" x14ac:dyDescent="0.3">
      <c r="A12" s="2">
        <v>43864</v>
      </c>
      <c r="B12" s="3" t="s">
        <v>9</v>
      </c>
      <c r="C12" s="3" t="s">
        <v>10</v>
      </c>
      <c r="D12" s="3" t="s">
        <v>17</v>
      </c>
      <c r="E12" s="3" t="s">
        <v>20</v>
      </c>
      <c r="F12" s="3">
        <v>36</v>
      </c>
      <c r="G12" s="3">
        <v>2.1800000000000002</v>
      </c>
      <c r="H12">
        <f t="shared" si="0"/>
        <v>78.48</v>
      </c>
    </row>
    <row r="14" spans="1:8" ht="21.6" customHeight="1" x14ac:dyDescent="0.3">
      <c r="E14" s="1" t="s">
        <v>46</v>
      </c>
      <c r="F14" s="6">
        <f>SUMIF(D2:D12,"Bars",F2:F12)</f>
        <v>238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A44B-9EEE-48D5-94BB-BC354B6B3EF9}">
  <dimension ref="A1:H14"/>
  <sheetViews>
    <sheetView workbookViewId="0">
      <selection activeCell="A3" sqref="A3"/>
    </sheetView>
  </sheetViews>
  <sheetFormatPr defaultRowHeight="14.4" x14ac:dyDescent="0.3"/>
  <cols>
    <col min="1" max="1" width="15.109375" customWidth="1"/>
    <col min="5" max="5" width="17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>
        <v>43831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33</v>
      </c>
      <c r="G2" s="3">
        <v>1.77</v>
      </c>
      <c r="H2">
        <f>F2*G2</f>
        <v>58.410000000000004</v>
      </c>
    </row>
    <row r="3" spans="1:8" ht="15.6" x14ac:dyDescent="0.3">
      <c r="A3" t="s">
        <v>47</v>
      </c>
      <c r="B3" s="3" t="s">
        <v>9</v>
      </c>
      <c r="C3" s="3" t="s">
        <v>10</v>
      </c>
      <c r="D3" s="3" t="s">
        <v>13</v>
      </c>
      <c r="E3" s="3" t="s">
        <v>14</v>
      </c>
      <c r="F3" s="3">
        <v>87</v>
      </c>
      <c r="G3" s="3">
        <v>3.49</v>
      </c>
      <c r="H3">
        <f t="shared" ref="H3:H12" si="0">F3*G3</f>
        <v>303.63</v>
      </c>
    </row>
    <row r="4" spans="1:8" ht="15.6" x14ac:dyDescent="0.3">
      <c r="A4" s="2">
        <v>43837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58</v>
      </c>
      <c r="G4" s="3">
        <v>1.87</v>
      </c>
      <c r="H4">
        <f t="shared" si="0"/>
        <v>108.46000000000001</v>
      </c>
    </row>
    <row r="5" spans="1:8" ht="15.6" x14ac:dyDescent="0.3">
      <c r="A5" s="2">
        <v>43840</v>
      </c>
      <c r="B5" s="3" t="s">
        <v>9</v>
      </c>
      <c r="C5" s="3" t="s">
        <v>19</v>
      </c>
      <c r="D5" s="3" t="s">
        <v>17</v>
      </c>
      <c r="E5" s="3" t="s">
        <v>18</v>
      </c>
      <c r="F5" s="3">
        <v>82</v>
      </c>
      <c r="G5" s="3">
        <v>1.87</v>
      </c>
      <c r="H5">
        <f t="shared" si="0"/>
        <v>153.34</v>
      </c>
    </row>
    <row r="6" spans="1:8" ht="15.6" x14ac:dyDescent="0.3">
      <c r="A6" s="2">
        <v>43843</v>
      </c>
      <c r="B6" s="3" t="s">
        <v>9</v>
      </c>
      <c r="C6" s="3" t="s">
        <v>10</v>
      </c>
      <c r="D6" s="3" t="s">
        <v>17</v>
      </c>
      <c r="E6" s="3" t="s">
        <v>20</v>
      </c>
      <c r="F6" s="3">
        <v>38</v>
      </c>
      <c r="G6" s="3">
        <v>2.1800000000000002</v>
      </c>
      <c r="H6">
        <f t="shared" si="0"/>
        <v>82.84</v>
      </c>
    </row>
    <row r="7" spans="1:8" ht="15.6" x14ac:dyDescent="0.3">
      <c r="A7" s="2">
        <v>43846</v>
      </c>
      <c r="B7" s="3" t="s">
        <v>9</v>
      </c>
      <c r="C7" s="3" t="s">
        <v>10</v>
      </c>
      <c r="D7" s="3" t="s">
        <v>11</v>
      </c>
      <c r="E7" s="3" t="s">
        <v>12</v>
      </c>
      <c r="F7" s="3">
        <v>54</v>
      </c>
      <c r="G7" s="3">
        <v>1.77</v>
      </c>
      <c r="H7">
        <f t="shared" si="0"/>
        <v>95.58</v>
      </c>
    </row>
    <row r="8" spans="1:8" ht="15.6" x14ac:dyDescent="0.3">
      <c r="A8" s="2">
        <v>43849</v>
      </c>
      <c r="B8" s="3" t="s">
        <v>9</v>
      </c>
      <c r="C8" s="3" t="s">
        <v>10</v>
      </c>
      <c r="D8" s="3" t="s">
        <v>13</v>
      </c>
      <c r="E8" s="3" t="s">
        <v>14</v>
      </c>
      <c r="F8" s="3">
        <v>149</v>
      </c>
      <c r="G8" s="3">
        <v>3.49</v>
      </c>
      <c r="H8">
        <f t="shared" si="0"/>
        <v>520.01</v>
      </c>
    </row>
    <row r="9" spans="1:8" ht="15.6" x14ac:dyDescent="0.3">
      <c r="A9" s="2">
        <v>43855</v>
      </c>
      <c r="B9" s="3" t="s">
        <v>15</v>
      </c>
      <c r="C9" s="3" t="s">
        <v>16</v>
      </c>
      <c r="D9" s="3" t="s">
        <v>11</v>
      </c>
      <c r="E9" s="3" t="s">
        <v>12</v>
      </c>
      <c r="F9" s="3">
        <v>51</v>
      </c>
      <c r="G9" s="3">
        <v>1.77</v>
      </c>
      <c r="H9">
        <f t="shared" si="0"/>
        <v>90.27</v>
      </c>
    </row>
    <row r="10" spans="1:8" ht="15.6" x14ac:dyDescent="0.3">
      <c r="A10" s="2">
        <v>43858</v>
      </c>
      <c r="B10" s="3" t="s">
        <v>9</v>
      </c>
      <c r="C10" s="3" t="s">
        <v>19</v>
      </c>
      <c r="D10" s="3" t="s">
        <v>11</v>
      </c>
      <c r="E10" s="3" t="s">
        <v>12</v>
      </c>
      <c r="F10" s="3">
        <v>100</v>
      </c>
      <c r="G10" s="3">
        <v>1.77</v>
      </c>
      <c r="H10">
        <f t="shared" si="0"/>
        <v>177</v>
      </c>
    </row>
    <row r="11" spans="1:8" ht="15.6" x14ac:dyDescent="0.3">
      <c r="A11" s="2">
        <v>43861</v>
      </c>
      <c r="B11" s="3" t="s">
        <v>9</v>
      </c>
      <c r="C11" s="3" t="s">
        <v>19</v>
      </c>
      <c r="D11" s="3" t="s">
        <v>21</v>
      </c>
      <c r="E11" s="3" t="s">
        <v>22</v>
      </c>
      <c r="F11" s="3">
        <v>28</v>
      </c>
      <c r="G11" s="3">
        <v>1.35</v>
      </c>
      <c r="H11">
        <f t="shared" si="0"/>
        <v>37.800000000000004</v>
      </c>
    </row>
    <row r="12" spans="1:8" ht="15.6" x14ac:dyDescent="0.3">
      <c r="A12" s="2">
        <v>43864</v>
      </c>
      <c r="B12" s="3" t="s">
        <v>9</v>
      </c>
      <c r="C12" s="3" t="s">
        <v>10</v>
      </c>
      <c r="D12" s="3" t="s">
        <v>17</v>
      </c>
      <c r="E12" s="3" t="s">
        <v>20</v>
      </c>
      <c r="F12" s="3">
        <v>36</v>
      </c>
      <c r="G12" s="3">
        <v>2.1800000000000002</v>
      </c>
      <c r="H12">
        <f t="shared" si="0"/>
        <v>78.48</v>
      </c>
    </row>
    <row r="14" spans="1:8" x14ac:dyDescent="0.3">
      <c r="H14" s="7">
        <f>SUMIFS(H2:H12,D2:D12,"Bars",G2:G12,"&gt;100")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5ECA-2CC1-4567-A6E4-541ED58E9FED}">
  <sheetPr filterMode="1"/>
  <dimension ref="A1:J16"/>
  <sheetViews>
    <sheetView tabSelected="1" topLeftCell="C11" workbookViewId="0">
      <selection activeCell="I28" sqref="I28"/>
    </sheetView>
  </sheetViews>
  <sheetFormatPr defaultRowHeight="14.4" x14ac:dyDescent="0.3"/>
  <cols>
    <col min="1" max="1" width="13.44140625" customWidth="1"/>
    <col min="3" max="3" width="11.77734375" bestFit="1" customWidth="1"/>
    <col min="5" max="5" width="15.6640625" customWidth="1"/>
    <col min="9" max="9" width="13.88671875" customWidth="1"/>
    <col min="10" max="10" width="17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</v>
      </c>
      <c r="J1" s="1" t="s">
        <v>51</v>
      </c>
    </row>
    <row r="2" spans="1:10" s="10" customFormat="1" ht="15.6" x14ac:dyDescent="0.3">
      <c r="A2" s="8">
        <v>43831</v>
      </c>
      <c r="B2" s="9" t="s">
        <v>9</v>
      </c>
      <c r="C2" s="9" t="s">
        <v>19</v>
      </c>
      <c r="D2" s="9" t="s">
        <v>17</v>
      </c>
      <c r="E2" s="9" t="s">
        <v>18</v>
      </c>
      <c r="F2" s="9">
        <v>33</v>
      </c>
      <c r="G2" s="9">
        <v>1.77</v>
      </c>
      <c r="H2" s="10">
        <f>F2*G2</f>
        <v>58.410000000000004</v>
      </c>
      <c r="I2" s="10">
        <f>SUM(H2,H3,H5)</f>
        <v>515.38</v>
      </c>
      <c r="J2" s="10">
        <f>SUM(H6,H7,H8,H10,H11,H12,H12)</f>
        <v>1070.19</v>
      </c>
    </row>
    <row r="3" spans="1:10" s="10" customFormat="1" ht="15.6" x14ac:dyDescent="0.3">
      <c r="A3" s="10" t="s">
        <v>47</v>
      </c>
      <c r="B3" s="9" t="s">
        <v>9</v>
      </c>
      <c r="C3" s="9" t="s">
        <v>19</v>
      </c>
      <c r="D3" s="9" t="s">
        <v>11</v>
      </c>
      <c r="E3" s="9" t="s">
        <v>12</v>
      </c>
      <c r="F3" s="9">
        <v>87</v>
      </c>
      <c r="G3" s="9">
        <v>3.49</v>
      </c>
      <c r="H3" s="10">
        <f t="shared" ref="H3:H12" si="0">F3*G3</f>
        <v>303.63</v>
      </c>
    </row>
    <row r="4" spans="1:10" s="10" customFormat="1" ht="15.6" x14ac:dyDescent="0.3">
      <c r="A4" s="8">
        <v>43837</v>
      </c>
      <c r="B4" s="9" t="s">
        <v>9</v>
      </c>
      <c r="C4" s="9" t="s">
        <v>19</v>
      </c>
      <c r="D4" s="9" t="s">
        <v>21</v>
      </c>
      <c r="E4" s="9" t="s">
        <v>22</v>
      </c>
      <c r="F4" s="9">
        <v>58</v>
      </c>
      <c r="G4" s="9">
        <v>1.87</v>
      </c>
      <c r="H4" s="10">
        <f t="shared" si="0"/>
        <v>108.46000000000001</v>
      </c>
    </row>
    <row r="5" spans="1:10" ht="15.6" hidden="1" x14ac:dyDescent="0.3">
      <c r="A5" s="2">
        <v>43840</v>
      </c>
      <c r="B5" s="3" t="s">
        <v>15</v>
      </c>
      <c r="C5" s="3" t="s">
        <v>16</v>
      </c>
      <c r="D5" s="3" t="s">
        <v>17</v>
      </c>
      <c r="E5" s="3" t="s">
        <v>18</v>
      </c>
      <c r="F5" s="3">
        <v>82</v>
      </c>
      <c r="G5" s="3">
        <v>1.87</v>
      </c>
      <c r="H5">
        <f t="shared" si="0"/>
        <v>153.34</v>
      </c>
    </row>
    <row r="6" spans="1:10" ht="15.6" hidden="1" x14ac:dyDescent="0.3">
      <c r="A6" s="2">
        <v>43843</v>
      </c>
      <c r="B6" s="3" t="s">
        <v>15</v>
      </c>
      <c r="C6" s="3" t="s">
        <v>16</v>
      </c>
      <c r="D6" s="3" t="s">
        <v>11</v>
      </c>
      <c r="E6" s="3" t="s">
        <v>12</v>
      </c>
      <c r="F6" s="3">
        <v>38</v>
      </c>
      <c r="G6" s="3">
        <v>2.1800000000000002</v>
      </c>
      <c r="H6">
        <f t="shared" si="0"/>
        <v>82.84</v>
      </c>
    </row>
    <row r="7" spans="1:10" s="13" customFormat="1" ht="15.6" x14ac:dyDescent="0.3">
      <c r="A7" s="11">
        <v>43846</v>
      </c>
      <c r="B7" s="12" t="s">
        <v>9</v>
      </c>
      <c r="C7" s="12" t="s">
        <v>10</v>
      </c>
      <c r="D7" s="12" t="s">
        <v>11</v>
      </c>
      <c r="E7" s="12" t="s">
        <v>12</v>
      </c>
      <c r="F7" s="12">
        <v>54</v>
      </c>
      <c r="G7" s="12">
        <v>1.77</v>
      </c>
      <c r="H7" s="13">
        <f t="shared" si="0"/>
        <v>95.58</v>
      </c>
    </row>
    <row r="8" spans="1:10" s="13" customFormat="1" ht="15.6" x14ac:dyDescent="0.3">
      <c r="A8" s="11">
        <v>43849</v>
      </c>
      <c r="B8" s="12" t="s">
        <v>9</v>
      </c>
      <c r="C8" s="12" t="s">
        <v>10</v>
      </c>
      <c r="D8" s="12" t="s">
        <v>13</v>
      </c>
      <c r="E8" s="12" t="s">
        <v>14</v>
      </c>
      <c r="F8" s="12">
        <v>149</v>
      </c>
      <c r="G8" s="12">
        <v>3.49</v>
      </c>
      <c r="H8" s="13">
        <f t="shared" si="0"/>
        <v>520.01</v>
      </c>
    </row>
    <row r="9" spans="1:10" s="13" customFormat="1" ht="15.6" x14ac:dyDescent="0.3">
      <c r="A9" s="11">
        <v>43855</v>
      </c>
      <c r="B9" s="12" t="s">
        <v>9</v>
      </c>
      <c r="C9" s="12" t="s">
        <v>10</v>
      </c>
      <c r="D9" s="12" t="s">
        <v>17</v>
      </c>
      <c r="E9" s="12" t="s">
        <v>20</v>
      </c>
      <c r="F9" s="12">
        <v>51</v>
      </c>
      <c r="G9" s="12">
        <v>1.77</v>
      </c>
      <c r="H9" s="13">
        <f t="shared" si="0"/>
        <v>90.27</v>
      </c>
    </row>
    <row r="10" spans="1:10" s="13" customFormat="1" ht="15.6" x14ac:dyDescent="0.3">
      <c r="A10" s="11">
        <v>43858</v>
      </c>
      <c r="B10" s="12" t="s">
        <v>9</v>
      </c>
      <c r="C10" s="12" t="s">
        <v>10</v>
      </c>
      <c r="D10" s="12" t="s">
        <v>11</v>
      </c>
      <c r="E10" s="12" t="s">
        <v>12</v>
      </c>
      <c r="F10" s="12">
        <v>100</v>
      </c>
      <c r="G10" s="12">
        <v>1.77</v>
      </c>
      <c r="H10" s="13">
        <f t="shared" si="0"/>
        <v>177</v>
      </c>
    </row>
    <row r="11" spans="1:10" s="13" customFormat="1" ht="15.6" x14ac:dyDescent="0.3">
      <c r="A11" s="11">
        <v>43861</v>
      </c>
      <c r="B11" s="12" t="s">
        <v>9</v>
      </c>
      <c r="C11" s="12" t="s">
        <v>10</v>
      </c>
      <c r="D11" s="12" t="s">
        <v>13</v>
      </c>
      <c r="E11" s="12" t="s">
        <v>14</v>
      </c>
      <c r="F11" s="12">
        <v>28</v>
      </c>
      <c r="G11" s="12">
        <v>1.35</v>
      </c>
      <c r="H11" s="13">
        <f t="shared" si="0"/>
        <v>37.800000000000004</v>
      </c>
    </row>
    <row r="12" spans="1:10" s="13" customFormat="1" ht="15.6" x14ac:dyDescent="0.3">
      <c r="A12" s="11">
        <v>43864</v>
      </c>
      <c r="B12" s="12" t="s">
        <v>9</v>
      </c>
      <c r="C12" s="12" t="s">
        <v>10</v>
      </c>
      <c r="D12" s="12" t="s">
        <v>17</v>
      </c>
      <c r="E12" s="12" t="s">
        <v>20</v>
      </c>
      <c r="F12" s="12">
        <v>36</v>
      </c>
      <c r="G12" s="12">
        <v>2.1800000000000002</v>
      </c>
      <c r="H12" s="13">
        <f t="shared" si="0"/>
        <v>78.48</v>
      </c>
    </row>
    <row r="13" spans="1:10" hidden="1" x14ac:dyDescent="0.3"/>
    <row r="15" spans="1:10" ht="15.6" x14ac:dyDescent="0.3">
      <c r="E15" s="12" t="s">
        <v>10</v>
      </c>
      <c r="F15" s="7">
        <f>SUMIFS(H2:H12,B2:B12,"East",C2:C12,"Boston")</f>
        <v>999.14</v>
      </c>
    </row>
    <row r="16" spans="1:10" ht="15.6" x14ac:dyDescent="0.3">
      <c r="E16" s="12" t="s">
        <v>19</v>
      </c>
      <c r="F16" s="14">
        <f>SUMIFS(H2:H12,B2:B12,"East",C2:C12,"New York")</f>
        <v>470.5</v>
      </c>
    </row>
  </sheetData>
  <autoFilter ref="A1:H13" xr:uid="{14875ECA-2CC1-4567-A6E4-541ED58E9FED}">
    <filterColumn colId="1">
      <filters>
        <filter val="East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created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QUESTION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2022-04-28T19:16:47Z</dcterms:created>
  <dcterms:modified xsi:type="dcterms:W3CDTF">2022-04-28T21:25:49Z</dcterms:modified>
</cp:coreProperties>
</file>